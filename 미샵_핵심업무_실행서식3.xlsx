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bookViews>
    <workbookView xWindow="0" yWindow="0" windowWidth="16380" windowHeight="8190" tabRatio="732" activeTab="3"/>
  </bookViews>
  <sheets>
    <sheet name="사용안내" sheetId="1" r:id="rId1"/>
    <sheet name="1.상품스케줄표" sheetId="2" r:id="rId2"/>
    <sheet name="2.주간상품체크(제작팀공유)" sheetId="3" r:id="rId3"/>
    <sheet name="3.월별HERO LIST" sheetId="4" r:id="rId4"/>
    <sheet name="4.MD주간회의록" sheetId="5" r:id="rId5"/>
    <sheet name="5.MD월간회의록" sheetId="6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" i="4" l="1"/>
  <c r="E22" i="4"/>
  <c r="C22" i="4"/>
  <c r="D22" i="4" s="1"/>
  <c r="J21" i="4"/>
  <c r="E21" i="4"/>
  <c r="C21" i="4"/>
  <c r="D21" i="4" s="1"/>
  <c r="J20" i="4"/>
  <c r="E20" i="4"/>
  <c r="C20" i="4"/>
  <c r="D20" i="4" s="1"/>
  <c r="J19" i="4"/>
  <c r="E19" i="4"/>
  <c r="C19" i="4"/>
  <c r="D19" i="4" s="1"/>
  <c r="J18" i="4"/>
  <c r="E18" i="4"/>
  <c r="C18" i="4"/>
  <c r="D18" i="4" s="1"/>
  <c r="J17" i="4"/>
  <c r="E17" i="4"/>
  <c r="C17" i="4"/>
  <c r="D17" i="4" s="1"/>
  <c r="J16" i="4"/>
  <c r="E16" i="4"/>
  <c r="C16" i="4"/>
  <c r="D16" i="4" s="1"/>
  <c r="J15" i="4"/>
  <c r="E15" i="4"/>
  <c r="C15" i="4"/>
  <c r="D15" i="4" s="1"/>
  <c r="J14" i="4"/>
  <c r="E14" i="4"/>
  <c r="C14" i="4"/>
  <c r="D14" i="4" s="1"/>
  <c r="J13" i="4"/>
  <c r="E13" i="4"/>
  <c r="C13" i="4"/>
  <c r="D13" i="4" s="1"/>
  <c r="J12" i="4"/>
  <c r="E12" i="4"/>
  <c r="C12" i="4"/>
  <c r="D12" i="4" s="1"/>
  <c r="J11" i="4"/>
  <c r="E11" i="4"/>
  <c r="C11" i="4"/>
  <c r="D11" i="4" s="1"/>
  <c r="J10" i="4"/>
  <c r="E10" i="4"/>
  <c r="C10" i="4"/>
  <c r="D10" i="4" s="1"/>
  <c r="J9" i="4"/>
  <c r="E9" i="4"/>
  <c r="C9" i="4"/>
  <c r="D9" i="4" s="1"/>
  <c r="J8" i="4"/>
  <c r="E8" i="4"/>
  <c r="C8" i="4"/>
  <c r="D8" i="4" s="1"/>
  <c r="J7" i="4"/>
  <c r="E7" i="4"/>
  <c r="C7" i="4"/>
  <c r="D7" i="4" s="1"/>
  <c r="J6" i="4"/>
  <c r="E6" i="4"/>
  <c r="C6" i="4"/>
  <c r="D6" i="4" s="1"/>
  <c r="J5" i="4"/>
  <c r="E5" i="4"/>
  <c r="C5" i="4"/>
  <c r="D5" i="4" s="1"/>
  <c r="J4" i="4"/>
  <c r="E4" i="4"/>
  <c r="C4" i="4"/>
  <c r="D4" i="4" s="1"/>
  <c r="J3" i="4"/>
  <c r="E3" i="4"/>
  <c r="C3" i="4"/>
  <c r="D3" i="4" s="1"/>
  <c r="J2" i="4"/>
  <c r="E2" i="4"/>
  <c r="C2" i="4"/>
  <c r="D2" i="4" s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comments1.xml><?xml version="1.0" encoding="utf-8"?>
<comments xmlns="http://schemas.openxmlformats.org/spreadsheetml/2006/main">
  <authors>
    <author>Unknown Author</author>
  </authors>
  <commentList>
    <comment ref="B1" authorId="0" shapeId="0">
      <text>
        <r>
          <rPr>
            <sz val="10"/>
            <rFont val="Noto Sans CJK SC"/>
            <family val="2"/>
          </rPr>
          <t>우리 팀이 실제로 부르는 이름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거래처 상품명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을 그대로 입력합니다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반드시 띄어쓰기 없이 붙여쓰기로 입력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보타스트레이트슬랙스</t>
        </r>
        <r>
          <rPr>
            <sz val="10"/>
            <rFont val="Arial"/>
            <family val="2"/>
          </rPr>
          <t>). 2</t>
        </r>
        <r>
          <rPr>
            <sz val="10"/>
            <rFont val="Noto Sans CJK SC"/>
            <family val="2"/>
          </rPr>
          <t>번 시트와 이 이름으로 연결됩니다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B1" authorId="0" shapeId="0">
      <text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번 시트에서 입력한 공급사상품명 목록 중에서 선택하세요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상품명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가칭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이 자동으로 연결됩니다</t>
        </r>
        <r>
          <rPr>
            <sz val="10"/>
            <rFont val="Arial"/>
            <family val="2"/>
          </rPr>
          <t>.</t>
        </r>
      </text>
    </comment>
    <comment ref="C1" authorId="0" shapeId="0">
      <text>
        <r>
          <rPr>
            <sz val="10"/>
            <rFont val="Noto Sans CJK SC"/>
            <family val="2"/>
          </rPr>
          <t>★중요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실제로 카페</t>
        </r>
        <r>
          <rPr>
            <sz val="10"/>
            <rFont val="Arial"/>
            <family val="2"/>
          </rPr>
          <t>24/</t>
        </r>
        <r>
          <rPr>
            <sz val="10"/>
            <rFont val="Noto Sans CJK SC"/>
            <family val="2"/>
          </rPr>
          <t>스토어에 등록되는 상품명을 그대로 입력하세요</t>
        </r>
        <r>
          <rPr>
            <sz val="10"/>
            <rFont val="Arial"/>
            <family val="2"/>
          </rPr>
          <t xml:space="preserve">. SERA/Cafe24 </t>
        </r>
        <r>
          <rPr>
            <sz val="10"/>
            <rFont val="Noto Sans CJK SC"/>
            <family val="2"/>
          </rPr>
          <t>데이터는 이 이름 기준으로 내려오므로</t>
        </r>
        <r>
          <rPr>
            <sz val="10"/>
            <rFont val="Arial"/>
            <family val="2"/>
          </rPr>
          <t>, 3</t>
        </r>
        <r>
          <rPr>
            <sz val="10"/>
            <rFont val="Noto Sans CJK SC"/>
            <family val="2"/>
          </rPr>
          <t>번 시트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월별</t>
        </r>
        <r>
          <rPr>
            <sz val="10"/>
            <rFont val="Arial"/>
            <family val="2"/>
          </rPr>
          <t>HERO LIST)</t>
        </r>
        <r>
          <rPr>
            <sz val="10"/>
            <rFont val="Noto Sans CJK SC"/>
            <family val="2"/>
          </rPr>
          <t>가 이 값과 매칭됩니다</t>
        </r>
        <r>
          <rPr>
            <sz val="10"/>
            <rFont val="Arial"/>
            <family val="2"/>
          </rPr>
          <t>.</t>
        </r>
      </text>
    </comment>
    <comment ref="K1" authorId="0" shapeId="0">
      <text>
        <r>
          <rPr>
            <sz val="10"/>
            <rFont val="Noto Sans CJK SC"/>
            <family val="2"/>
          </rPr>
          <t xml:space="preserve">노출 </t>
        </r>
        <r>
          <rPr>
            <sz val="10"/>
            <rFont val="Arial"/>
            <family val="2"/>
          </rPr>
          <t>48</t>
        </r>
        <r>
          <rPr>
            <sz val="10"/>
            <rFont val="Noto Sans CJK SC"/>
            <family val="2"/>
          </rPr>
          <t xml:space="preserve">시간 시점 </t>
        </r>
        <r>
          <rPr>
            <sz val="10"/>
            <rFont val="Arial"/>
            <family val="2"/>
          </rPr>
          <t xml:space="preserve">HERO </t>
        </r>
        <r>
          <rPr>
            <sz val="10"/>
            <rFont val="Noto Sans CJK SC"/>
            <family val="2"/>
          </rPr>
          <t>판정 결과</t>
        </r>
        <r>
          <rPr>
            <sz val="10"/>
            <rFont val="Arial"/>
            <family val="2"/>
          </rPr>
          <t xml:space="preserve">. O = HERO </t>
        </r>
        <r>
          <rPr>
            <sz val="10"/>
            <rFont val="Noto Sans CJK SC"/>
            <family val="2"/>
          </rPr>
          <t>등록</t>
        </r>
        <r>
          <rPr>
            <sz val="10"/>
            <rFont val="Arial"/>
            <family val="2"/>
          </rPr>
          <t xml:space="preserve">, X = </t>
        </r>
        <r>
          <rPr>
            <sz val="10"/>
            <rFont val="Noto Sans CJK SC"/>
            <family val="2"/>
          </rPr>
          <t>해당 없음</t>
        </r>
      </text>
    </comment>
    <comment ref="M1" authorId="0" shapeId="0">
      <text>
        <r>
          <rPr>
            <sz val="10"/>
            <rFont val="Noto Sans CJK SC"/>
            <family val="2"/>
          </rPr>
          <t>기대만큼 판매되지 않아 재검토가 필요한 상품</t>
        </r>
        <r>
          <rPr>
            <sz val="10"/>
            <rFont val="Arial"/>
            <family val="2"/>
          </rPr>
          <t xml:space="preserve">. O = </t>
        </r>
        <r>
          <rPr>
            <sz val="10"/>
            <rFont val="Noto Sans CJK SC"/>
            <family val="2"/>
          </rPr>
          <t>재검토 필요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B1" authorId="0" shapeId="0">
      <text>
        <r>
          <rPr>
            <sz val="10"/>
            <rFont val="Arial"/>
            <family val="2"/>
          </rPr>
          <t xml:space="preserve">SERA </t>
        </r>
        <r>
          <rPr>
            <sz val="10"/>
            <rFont val="Noto Sans CJK SC"/>
            <family val="2"/>
          </rPr>
          <t xml:space="preserve">또는 </t>
        </r>
        <r>
          <rPr>
            <sz val="10"/>
            <rFont val="Arial"/>
            <family val="2"/>
          </rPr>
          <t xml:space="preserve">Cafe24 </t>
        </r>
        <r>
          <rPr>
            <sz val="10"/>
            <rFont val="Noto Sans CJK SC"/>
            <family val="2"/>
          </rPr>
          <t xml:space="preserve">리포트에 찍힌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노출상품명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을 토씨 하나 다르지 않게 그대로 입력하세요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이 이름으로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번 시트와 매칭되어 공급사상품명이 자동으로 역추적됩니다</t>
        </r>
        <r>
          <rPr>
            <sz val="10"/>
            <rFont val="Arial"/>
            <family val="2"/>
          </rPr>
          <t>.</t>
        </r>
      </text>
    </comment>
    <comment ref="F1" authorId="0" shapeId="0">
      <text>
        <r>
          <rPr>
            <sz val="10"/>
            <rFont val="Arial"/>
            <family val="2"/>
          </rPr>
          <t xml:space="preserve">Cafe24 </t>
        </r>
        <r>
          <rPr>
            <sz val="10"/>
            <rFont val="Noto Sans CJK SC"/>
            <family val="2"/>
          </rPr>
          <t xml:space="preserve">통계 또는 </t>
        </r>
        <r>
          <rPr>
            <sz val="10"/>
            <rFont val="Arial"/>
            <family val="2"/>
          </rPr>
          <t xml:space="preserve">SERA </t>
        </r>
        <r>
          <rPr>
            <sz val="10"/>
            <rFont val="Noto Sans CJK SC"/>
            <family val="2"/>
          </rPr>
          <t>판매분석 리포트에서 월별 누적 수치를 그대로 입력하세요</t>
        </r>
        <r>
          <rPr>
            <sz val="10"/>
            <rFont val="Arial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>
  <authors>
    <author>Unknown Author</author>
  </authors>
  <commentList>
    <comment ref="B5" authorId="0" shapeId="0">
      <text>
        <r>
          <rPr>
            <sz val="10"/>
            <rFont val="Arial"/>
            <family val="2"/>
          </rPr>
          <t>'2.</t>
        </r>
        <r>
          <rPr>
            <sz val="10"/>
            <rFont val="Noto Sans CJK SC"/>
            <family val="2"/>
          </rPr>
          <t>주간상품체크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제작팀공유</t>
        </r>
        <r>
          <rPr>
            <sz val="10"/>
            <rFont val="Arial"/>
            <family val="2"/>
          </rPr>
          <t xml:space="preserve">)' </t>
        </r>
        <r>
          <rPr>
            <sz val="10"/>
            <rFont val="Noto Sans CJK SC"/>
            <family val="2"/>
          </rPr>
          <t>시트에 이미 있는 공급사상품명 중에서 선택하세요</t>
        </r>
        <r>
          <rPr>
            <sz val="10"/>
            <rFont val="Arial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>
  <authors>
    <author>Unknown Author</author>
  </authors>
  <commentList>
    <comment ref="B16" authorId="0" shapeId="0">
      <text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번 시트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상품스케줄표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에 등록된 공급사상품명 목록에서 선택하세요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<sst xmlns="http://schemas.openxmlformats.org/spreadsheetml/2006/main" count="157" uniqueCount="133">
  <si>
    <t>미샵 핵심업무 실행 서식 — 사용 안내</t>
  </si>
  <si>
    <t>전체 흐름</t>
  </si>
  <si>
    <t>① 상품 소싱 (오프라인 회의) → 1번 시트에 공급사상품명(붙여쓰기)으로 최초 등록</t>
  </si>
  <si>
    <t>② 상품 노출 후 48시간 내 변경체크 → '2.주간상품체크(제작팀공유)' 시트(MD·제작팀 공유)에서 HERO 여부 / 재검토 여부 판정 및 조치</t>
  </si>
  <si>
    <t>③ 매주 금요일 MD 주간회의 → '2.주간상품체크(제작팀공유)' 시트를 함께 보며 진행, 4번 시트에는 추가 논의사항과 경쟁사 모니터링만 기록</t>
  </si>
  <si>
    <t>④ 월별 HERO LIST 확보 → 3번 시트에 SERA/Cafe24 데이터를 '노출상품명' 기준으로 입력</t>
  </si>
  <si>
    <t>⑤ 매월 마지막 주 MD 월간회의 → 5번 시트에 다음달 키워드·제작방향과 재고 점검 기록</t>
  </si>
  <si>
    <t>핵심 키(연결고리) 규칙</t>
  </si>
  <si>
    <t>공급사상품명(거래처명)</t>
  </si>
  <si>
    <t>우리 팀이 실제로 대화·기억하는 이름. 1번, 2.주간상품체크(제작팀공유), 4번, 5번 시트를 연결하는 기본 키입니다. 반드시 띄어쓰기 없이 붙여쓰기로 통일합니다. (예: 보타스트레이트슬랙스)</t>
  </si>
  <si>
    <t>노출상품명</t>
  </si>
  <si>
    <t>카페24/스토어에 실제로 등록되는 상품명. 공급사상품명과 다를 수 있습니다. '2.주간상품체크(제작팀공유)' 시트에서 입력하며, SERA/Cafe24 데이터는 이 이름 기준으로 내려오기 때문에 3번 시트는 이 이름으로 매칭합니다.</t>
  </si>
  <si>
    <t>시트 구성</t>
  </si>
  <si>
    <r>
      <rPr>
        <b/>
        <sz val="10"/>
        <rFont val="Arial"/>
        <family val="2"/>
      </rPr>
      <t xml:space="preserve">1. </t>
    </r>
    <r>
      <rPr>
        <b/>
        <sz val="10"/>
        <rFont val="Noto Sans CJK SC"/>
        <family val="2"/>
      </rPr>
      <t>상품스케줄표</t>
    </r>
  </si>
  <si>
    <t>오프라인 소싱 회의 직후 MD가 작성. 공급사상품명(거래처명)을 붙여쓰기로 최초 입력하고, FOCUS ITEM 후보 여부·소싱처·제작예정일을 관리합니다.</t>
  </si>
  <si>
    <r>
      <rPr>
        <b/>
        <sz val="10"/>
        <rFont val="Arial"/>
        <family val="2"/>
      </rPr>
      <t>2.</t>
    </r>
    <r>
      <rPr>
        <b/>
        <sz val="10"/>
        <rFont val="Noto Sans CJK SC"/>
        <family val="2"/>
      </rPr>
      <t>주간상품체크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제작팀공유</t>
    </r>
    <r>
      <rPr>
        <b/>
        <sz val="10"/>
        <rFont val="Arial"/>
        <family val="2"/>
      </rPr>
      <t>)</t>
    </r>
  </si>
  <si>
    <r>
      <rPr>
        <sz val="10"/>
        <rFont val="Arial"/>
        <family val="2"/>
      </rPr>
      <t>MD</t>
    </r>
    <r>
      <rPr>
        <sz val="10"/>
        <rFont val="Noto Sans CJK SC"/>
        <family val="2"/>
      </rPr>
      <t>와 제작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디자인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팀이 함께 보는 시트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노출 </t>
    </r>
    <r>
      <rPr>
        <sz val="10"/>
        <rFont val="Arial"/>
        <family val="2"/>
      </rPr>
      <t>48</t>
    </r>
    <r>
      <rPr>
        <sz val="10"/>
        <rFont val="Noto Sans CJK SC"/>
        <family val="2"/>
      </rPr>
      <t xml:space="preserve">시간 시점 실적을 기록하고 </t>
    </r>
    <r>
      <rPr>
        <sz val="10"/>
        <rFont val="Arial"/>
        <family val="2"/>
      </rPr>
      <t xml:space="preserve">HERO </t>
    </r>
    <r>
      <rPr>
        <sz val="10"/>
        <rFont val="Noto Sans CJK SC"/>
        <family val="2"/>
      </rPr>
      <t>여부</t>
    </r>
    <r>
      <rPr>
        <sz val="10"/>
        <rFont val="Arial"/>
        <family val="2"/>
      </rPr>
      <t>(O/X)·</t>
    </r>
    <r>
      <rPr>
        <sz val="10"/>
        <rFont val="Noto Sans CJK SC"/>
        <family val="2"/>
      </rPr>
      <t>재검토 여부</t>
    </r>
    <r>
      <rPr>
        <sz val="10"/>
        <rFont val="Arial"/>
        <family val="2"/>
      </rPr>
      <t>(O/X)</t>
    </r>
    <r>
      <rPr>
        <sz val="10"/>
        <rFont val="Noto Sans CJK SC"/>
        <family val="2"/>
      </rPr>
      <t>를 판정합니다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재검토 상품은 </t>
    </r>
    <r>
      <rPr>
        <sz val="10"/>
        <rFont val="Arial"/>
        <family val="2"/>
      </rPr>
      <t>MD·</t>
    </r>
    <r>
      <rPr>
        <sz val="10"/>
        <rFont val="Noto Sans CJK SC"/>
        <family val="2"/>
      </rPr>
      <t>제작팀 조치내용과 담당확인까지 이 시트 안에서 끝냅니다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실제 스토어에 등록된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노출상품명</t>
    </r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도 여기서 기록해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번 시트와 연결됩니다</t>
    </r>
    <r>
      <rPr>
        <sz val="10"/>
        <rFont val="Arial"/>
        <family val="2"/>
      </rPr>
      <t>.</t>
    </r>
  </si>
  <si>
    <r>
      <rPr>
        <b/>
        <sz val="10"/>
        <rFont val="Arial"/>
        <family val="2"/>
      </rPr>
      <t xml:space="preserve">3. </t>
    </r>
    <r>
      <rPr>
        <b/>
        <sz val="10"/>
        <rFont val="Noto Sans CJK SC"/>
        <family val="2"/>
      </rPr>
      <t>월별</t>
    </r>
    <r>
      <rPr>
        <b/>
        <sz val="10"/>
        <rFont val="Arial"/>
        <family val="2"/>
      </rPr>
      <t>HERO LIST</t>
    </r>
  </si>
  <si>
    <r>
      <rPr>
        <sz val="10"/>
        <rFont val="Arial"/>
        <family val="2"/>
      </rPr>
      <t xml:space="preserve">SERA/Cafe24 </t>
    </r>
    <r>
      <rPr>
        <sz val="10"/>
        <rFont val="Noto Sans CJK SC"/>
        <family val="2"/>
      </rPr>
      <t xml:space="preserve">실적 데이터를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노출상품명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기준으로 입력하면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위 시트를 거꾸로 조회해 공급사상품명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상품명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가칭</t>
    </r>
    <r>
      <rPr>
        <sz val="10"/>
        <rFont val="Arial"/>
        <family val="2"/>
      </rPr>
      <t xml:space="preserve">)·HERO </t>
    </r>
    <r>
      <rPr>
        <sz val="10"/>
        <rFont val="Noto Sans CJK SC"/>
        <family val="2"/>
      </rPr>
      <t>상품여부가 자동으로 연결됩니다</t>
    </r>
    <r>
      <rPr>
        <sz val="10"/>
        <rFont val="Arial"/>
        <family val="2"/>
      </rPr>
      <t>.</t>
    </r>
  </si>
  <si>
    <r>
      <rPr>
        <b/>
        <sz val="10"/>
        <rFont val="Arial"/>
        <family val="2"/>
      </rPr>
      <t>4. MD</t>
    </r>
    <r>
      <rPr>
        <b/>
        <sz val="10"/>
        <rFont val="Noto Sans CJK SC"/>
        <family val="2"/>
      </rPr>
      <t>주간회의록</t>
    </r>
  </si>
  <si>
    <t>매주 금요일 회의 기록. '2.주간상품체크(제작팀공유)' 시트 내용은 반복해서 옮겨 적지 않고, 그 자리에서 추가로 나온 논의사항(①)과 경쟁사 모니터링(②)만 기록하는 가벼운 시트입니다. 하단에 BEST/WORST/HERO 용어 정리가 있습니다.</t>
  </si>
  <si>
    <r>
      <rPr>
        <b/>
        <sz val="10"/>
        <rFont val="Arial"/>
        <family val="2"/>
      </rPr>
      <t>5. MD</t>
    </r>
    <r>
      <rPr>
        <b/>
        <sz val="10"/>
        <rFont val="Noto Sans CJK SC"/>
        <family val="2"/>
      </rPr>
      <t>월간회의록</t>
    </r>
  </si>
  <si>
    <t>매월 마지막 주 회의 기록. 다음 달 패션 키워드·제작방향·트렌드 키워드를 정하고, 재고·현금화 상품을 다음 달 방향과 연결해 점검합니다.</t>
  </si>
  <si>
    <t>색상 규칙</t>
  </si>
  <si>
    <t>파란 글씨</t>
  </si>
  <si>
    <t>담당자가 직접 입력하는 셀</t>
  </si>
  <si>
    <t>검정 글씨</t>
  </si>
  <si>
    <t>자동 계산/자동 연결되는 셀 (건드리지 마세요, 수식 포함)</t>
  </si>
  <si>
    <t>노란색/초록색 채우기</t>
  </si>
  <si>
    <t>핵심 판단·의사결정 셀 (FOCUS ITEM 여부, HERO 판정 등)</t>
  </si>
  <si>
    <t>※ 각 시트의 예시 행은 참고용입니다. 실제 데이터는 그 아래 행부터 입력하세요.
※ 공급사상품명은 반드시 띄어쓰기 없이 붙여쓰기로 입력합니다 (예: 보타스트레이트슬랙스).
※ 제작(디자인)팀과 공유 시 '2.주간상품체크(제작팀공유)' 시트만 열람 권한을 드려도 회의 진행이 가능합니다.
※ SERA/Cafe24 데이터 자동 불러오기는 이 엑셀 자체 수식만으로는 불가능합니다. 리포트를 다운받아 3번 시트에 직접 붙여넣는 방식이며, 자동 연동을 원하시면 Cafe24 API 연결이 별도로 필요합니다.</t>
  </si>
  <si>
    <t>노출날짜</t>
  </si>
  <si>
    <t>공급사상품명
(거래처명, 붙여쓰기)</t>
  </si>
  <si>
    <t>공급가</t>
  </si>
  <si>
    <t>상품명(가칭)</t>
  </si>
  <si>
    <r>
      <rPr>
        <b/>
        <sz val="9"/>
        <color rgb="FFFFFFFF"/>
        <rFont val="Arial"/>
        <family val="2"/>
        <charset val="1"/>
      </rPr>
      <t xml:space="preserve">FOCUS ITEM
</t>
    </r>
    <r>
      <rPr>
        <b/>
        <sz val="9"/>
        <color rgb="FFFFFFFF"/>
        <rFont val="Noto Sans CJK SC"/>
        <family val="2"/>
      </rPr>
      <t>후보</t>
    </r>
    <r>
      <rPr>
        <b/>
        <sz val="9"/>
        <color rgb="FFFFFFFF"/>
        <rFont val="Arial"/>
        <family val="2"/>
        <charset val="1"/>
      </rPr>
      <t>(O/X)</t>
    </r>
  </si>
  <si>
    <t>과거 베스트
연결상품(DNA)</t>
  </si>
  <si>
    <t>소싱처</t>
  </si>
  <si>
    <t>제작/발주
예정일</t>
  </si>
  <si>
    <t>진행상태</t>
  </si>
  <si>
    <t>비고</t>
  </si>
  <si>
    <t>보타스트레이트슬랙스</t>
  </si>
  <si>
    <t>가을 스트레이트 슬랙스</t>
  </si>
  <si>
    <t>O</t>
  </si>
  <si>
    <t>보타 스트레이트팬츠(2024 베스트)</t>
  </si>
  <si>
    <t>동대문A업체</t>
  </si>
  <si>
    <t>2026-08-20</t>
  </si>
  <si>
    <t>소싱중</t>
  </si>
  <si>
    <t>-</t>
  </si>
  <si>
    <t>순번</t>
  </si>
  <si>
    <t>공급사상품명
(거래처명)</t>
  </si>
  <si>
    <t>노출상품명
(카페24/스토어 등록명)</t>
  </si>
  <si>
    <r>
      <rPr>
        <b/>
        <sz val="9"/>
        <color rgb="FFFFFFFF"/>
        <rFont val="Arial"/>
        <family val="2"/>
        <charset val="1"/>
      </rPr>
      <t>48</t>
    </r>
    <r>
      <rPr>
        <b/>
        <sz val="9"/>
        <color rgb="FFFFFFFF"/>
        <rFont val="Noto Sans CJK SC"/>
        <family val="2"/>
      </rPr>
      <t>시간
마감날짜</t>
    </r>
  </si>
  <si>
    <t>마감시점
조회수</t>
  </si>
  <si>
    <t>마감시점
판매수량</t>
  </si>
  <si>
    <t>주문율</t>
  </si>
  <si>
    <t>클릭가치</t>
  </si>
  <si>
    <t>마감시점
매출액</t>
  </si>
  <si>
    <r>
      <rPr>
        <b/>
        <sz val="9"/>
        <color rgb="FFFFFFFF"/>
        <rFont val="Arial"/>
        <family val="2"/>
        <charset val="1"/>
      </rPr>
      <t xml:space="preserve">HERO </t>
    </r>
    <r>
      <rPr>
        <b/>
        <sz val="9"/>
        <color rgb="FFFFFFFF"/>
        <rFont val="Noto Sans CJK SC"/>
        <family val="2"/>
      </rPr>
      <t>상품</t>
    </r>
  </si>
  <si>
    <t>조치내용
(MD팀 확인)</t>
  </si>
  <si>
    <t>재검토 상품</t>
  </si>
  <si>
    <t>조치내용
(제작팀확인)</t>
  </si>
  <si>
    <r>
      <rPr>
        <b/>
        <sz val="9"/>
        <color rgb="FFFFFFFF"/>
        <rFont val="돋움"/>
        <family val="3"/>
        <charset val="129"/>
      </rPr>
      <t xml:space="preserve">MD </t>
    </r>
    <r>
      <rPr>
        <b/>
        <sz val="9"/>
        <color rgb="FFFFFFFF"/>
        <rFont val="Noto Sans CJK SC"/>
        <family val="2"/>
      </rPr>
      <t>담당확인</t>
    </r>
  </si>
  <si>
    <t>제작팀 담당확인</t>
  </si>
  <si>
    <t>미샵 가을 스트레이트 슬랙스 (25-08 NEW)</t>
  </si>
  <si>
    <t>릴스기획, 후기체크</t>
  </si>
  <si>
    <t>추가촬영, 원고, 썸네일</t>
  </si>
  <si>
    <t>상페 수정 및 추가 내용</t>
  </si>
  <si>
    <t>월</t>
  </si>
  <si>
    <t>노출상품명
(SERA/Cafe24 그대로 입력)</t>
  </si>
  <si>
    <t>공급사상품명
(거래처명, 자동)</t>
  </si>
  <si>
    <t>상품명(가칭)
(자동)</t>
  </si>
  <si>
    <r>
      <rPr>
        <b/>
        <sz val="9"/>
        <color rgb="FFFFFFFF"/>
        <rFont val="Arial"/>
        <family val="2"/>
      </rPr>
      <t xml:space="preserve">HERO </t>
    </r>
    <r>
      <rPr>
        <b/>
        <sz val="9"/>
        <color rgb="FFFFFFFF"/>
        <rFont val="Noto Sans CJK SC"/>
        <family val="2"/>
      </rPr>
      <t xml:space="preserve">상품여부
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자동</t>
    </r>
    <r>
      <rPr>
        <b/>
        <sz val="9"/>
        <color rgb="FFFFFFFF"/>
        <rFont val="Arial"/>
        <family val="2"/>
      </rPr>
      <t>)</t>
    </r>
  </si>
  <si>
    <t>누적 판매수량
(SERA/Cafe24)</t>
  </si>
  <si>
    <t>누적 매출액
(SERA/Cafe24)</t>
  </si>
  <si>
    <t>공헌이익률(%)
(SERA)</t>
  </si>
  <si>
    <r>
      <rPr>
        <b/>
        <sz val="9"/>
        <color rgb="FFFFFFFF"/>
        <rFont val="Arial"/>
        <family val="2"/>
        <charset val="1"/>
      </rPr>
      <t xml:space="preserve">HERO </t>
    </r>
    <r>
      <rPr>
        <b/>
        <sz val="9"/>
        <color rgb="FFFFFFFF"/>
        <rFont val="Noto Sans CJK SC"/>
        <family val="2"/>
      </rPr>
      <t xml:space="preserve">유지여부
</t>
    </r>
    <r>
      <rPr>
        <b/>
        <sz val="9"/>
        <color rgb="FFFFFFFF"/>
        <rFont val="Arial"/>
        <family val="2"/>
        <charset val="1"/>
      </rPr>
      <t>(</t>
    </r>
    <r>
      <rPr>
        <b/>
        <sz val="9"/>
        <color rgb="FFFFFFFF"/>
        <rFont val="Noto Sans CJK SC"/>
        <family val="2"/>
      </rPr>
      <t>월말 재평가</t>
    </r>
    <r>
      <rPr>
        <b/>
        <sz val="9"/>
        <color rgb="FFFFFFFF"/>
        <rFont val="Arial"/>
        <family val="2"/>
        <charset val="1"/>
      </rPr>
      <t>)</t>
    </r>
  </si>
  <si>
    <t>월내 매출
순위(자동)</t>
  </si>
  <si>
    <t>2026-08</t>
  </si>
  <si>
    <t>유지</t>
  </si>
  <si>
    <r>
      <rPr>
        <sz val="9"/>
        <color rgb="FF0000FF"/>
        <rFont val="Arial"/>
        <family val="2"/>
        <charset val="1"/>
      </rPr>
      <t>8</t>
    </r>
    <r>
      <rPr>
        <sz val="9"/>
        <color rgb="FF0000FF"/>
        <rFont val="Noto Sans CJK SC"/>
        <family val="2"/>
      </rPr>
      <t xml:space="preserve">월 </t>
    </r>
    <r>
      <rPr>
        <sz val="9"/>
        <color rgb="FF0000FF"/>
        <rFont val="Arial"/>
        <family val="2"/>
        <charset val="1"/>
      </rPr>
      <t>HERO 1</t>
    </r>
    <r>
      <rPr>
        <sz val="9"/>
        <color rgb="FF0000FF"/>
        <rFont val="Noto Sans CJK SC"/>
        <family val="2"/>
      </rPr>
      <t>위</t>
    </r>
    <r>
      <rPr>
        <sz val="9"/>
        <color rgb="FF0000FF"/>
        <rFont val="Arial"/>
        <family val="2"/>
        <charset val="1"/>
      </rPr>
      <t>, 9</t>
    </r>
    <r>
      <rPr>
        <sz val="9"/>
        <color rgb="FF0000FF"/>
        <rFont val="Noto Sans CJK SC"/>
        <family val="2"/>
      </rPr>
      <t>월 재주문 검토</t>
    </r>
  </si>
  <si>
    <r>
      <rPr>
        <b/>
        <sz val="14"/>
        <color rgb="FF1F3864"/>
        <rFont val="Arial"/>
        <family val="2"/>
      </rPr>
      <t xml:space="preserve">MD </t>
    </r>
    <r>
      <rPr>
        <b/>
        <sz val="14"/>
        <color rgb="FF1F3864"/>
        <rFont val="Noto Sans CJK SC"/>
        <family val="2"/>
      </rPr>
      <t xml:space="preserve">주간회의록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Noto Sans CJK SC"/>
        <family val="2"/>
      </rPr>
      <t>매주 금요일</t>
    </r>
    <r>
      <rPr>
        <b/>
        <sz val="14"/>
        <color rgb="FF1F3864"/>
        <rFont val="Arial"/>
        <family val="2"/>
      </rPr>
      <t>)</t>
    </r>
  </si>
  <si>
    <t>※ 회의는 '2.주간상품체크(제작팀공유)' 시트를 함께 보면서 진행합니다(제작팀도 접근 가능). 이 시트에는 그 자리에서 추가로 나온 논의사항과 경쟁사 모니터링만 기록합니다 — 데이터를 다시 옮겨 적지 않습니다.</t>
  </si>
  <si>
    <t>① 주간 판매상품 추가 논의</t>
  </si>
  <si>
    <t>회의일자</t>
  </si>
  <si>
    <t>공급사상품명
(주간상품체크 시트 목록)</t>
  </si>
  <si>
    <t>추가 논의내용
(시트에 없는 내용만)</t>
  </si>
  <si>
    <t>결정사항 / 조치</t>
  </si>
  <si>
    <t>담당</t>
  </si>
  <si>
    <t>2026-08-21</t>
  </si>
  <si>
    <t>재입고 물량을 몇 장으로 할지 논의</t>
  </si>
  <si>
    <t>다음 주 100장 추가 발주 확정</t>
  </si>
  <si>
    <t>박희라</t>
  </si>
  <si>
    <t>② 경쟁사 모니터링</t>
  </si>
  <si>
    <t>경쟁사명</t>
  </si>
  <si>
    <r>
      <rPr>
        <b/>
        <sz val="9"/>
        <color rgb="FFFFFFFF"/>
        <rFont val="Arial"/>
        <family val="2"/>
      </rPr>
      <t xml:space="preserve">1. </t>
    </r>
    <r>
      <rPr>
        <b/>
        <sz val="9"/>
        <color rgb="FFFFFFFF"/>
        <rFont val="Noto Sans CJK SC"/>
        <family val="2"/>
      </rPr>
      <t>베스트상품</t>
    </r>
  </si>
  <si>
    <r>
      <rPr>
        <b/>
        <sz val="9"/>
        <color rgb="FFFFFFFF"/>
        <rFont val="Arial"/>
        <family val="2"/>
      </rPr>
      <t xml:space="preserve">2. </t>
    </r>
    <r>
      <rPr>
        <b/>
        <sz val="9"/>
        <color rgb="FFFFFFFF"/>
        <rFont val="Noto Sans CJK SC"/>
        <family val="2"/>
      </rPr>
      <t>가격</t>
    </r>
    <r>
      <rPr>
        <b/>
        <sz val="9"/>
        <color rgb="FFFFFFFF"/>
        <rFont val="Arial"/>
        <family val="2"/>
      </rPr>
      <t>/</t>
    </r>
    <r>
      <rPr>
        <b/>
        <sz val="9"/>
        <color rgb="FFFFFFFF"/>
        <rFont val="Noto Sans CJK SC"/>
        <family val="2"/>
      </rPr>
      <t>프로모션</t>
    </r>
  </si>
  <si>
    <r>
      <rPr>
        <b/>
        <sz val="9"/>
        <color rgb="FFFFFFFF"/>
        <rFont val="Arial"/>
        <family val="2"/>
      </rPr>
      <t xml:space="preserve">3. </t>
    </r>
    <r>
      <rPr>
        <b/>
        <sz val="9"/>
        <color rgb="FFFFFFFF"/>
        <rFont val="Noto Sans CJK SC"/>
        <family val="2"/>
      </rPr>
      <t>미샵 적용 아이디어</t>
    </r>
  </si>
  <si>
    <t>링크/메모</t>
  </si>
  <si>
    <r>
      <rPr>
        <sz val="9"/>
        <color rgb="FF0000FF"/>
        <rFont val="Arial"/>
        <family val="2"/>
      </rPr>
      <t>A</t>
    </r>
    <r>
      <rPr>
        <sz val="9"/>
        <color rgb="FF0000FF"/>
        <rFont val="Noto Sans CJK SC"/>
        <family val="2"/>
      </rPr>
      <t>사</t>
    </r>
  </si>
  <si>
    <t>가을 와이드팬츠 베스트 1위</t>
  </si>
  <si>
    <t>전상품 15% 할인 프로모션 진행중</t>
  </si>
  <si>
    <t>묶음할인 프로모션 벤치마킹 검토</t>
  </si>
  <si>
    <t>https://example.com</t>
  </si>
  <si>
    <t>■ 용어 정리</t>
  </si>
  <si>
    <r>
      <rPr>
        <sz val="9"/>
        <rFont val="Arial"/>
        <family val="2"/>
      </rPr>
      <t xml:space="preserve">- BEST : HERO </t>
    </r>
    <r>
      <rPr>
        <sz val="9"/>
        <rFont val="Noto Sans CJK SC"/>
        <family val="2"/>
      </rPr>
      <t>예상을 뛰어넘고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 xml:space="preserve">이번 주 통계에서 좋았던 집중상품 — </t>
    </r>
    <r>
      <rPr>
        <sz val="9"/>
        <rFont val="Arial"/>
        <family val="2"/>
      </rPr>
      <t>'2.</t>
    </r>
    <r>
      <rPr>
        <sz val="9"/>
        <rFont val="Noto Sans CJK SC"/>
        <family val="2"/>
      </rPr>
      <t>주간상품체크</t>
    </r>
    <r>
      <rPr>
        <sz val="9"/>
        <rFont val="Arial"/>
        <family val="2"/>
      </rPr>
      <t>(</t>
    </r>
    <r>
      <rPr>
        <sz val="9"/>
        <rFont val="Noto Sans CJK SC"/>
        <family val="2"/>
      </rPr>
      <t>제작팀공유</t>
    </r>
    <r>
      <rPr>
        <sz val="9"/>
        <rFont val="Arial"/>
        <family val="2"/>
      </rPr>
      <t xml:space="preserve">)' </t>
    </r>
    <r>
      <rPr>
        <sz val="9"/>
        <rFont val="Noto Sans CJK SC"/>
        <family val="2"/>
      </rPr>
      <t xml:space="preserve">시트의 </t>
    </r>
    <r>
      <rPr>
        <sz val="9"/>
        <rFont val="Arial"/>
        <family val="2"/>
      </rPr>
      <t xml:space="preserve">'HERO </t>
    </r>
    <r>
      <rPr>
        <sz val="9"/>
        <rFont val="Noto Sans CJK SC"/>
        <family val="2"/>
      </rPr>
      <t>상품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 xml:space="preserve">열에 </t>
    </r>
    <r>
      <rPr>
        <sz val="9"/>
        <rFont val="Arial"/>
        <family val="2"/>
      </rPr>
      <t>O</t>
    </r>
    <r>
      <rPr>
        <sz val="9"/>
        <rFont val="Noto Sans CJK SC"/>
        <family val="2"/>
      </rPr>
      <t>로 표시</t>
    </r>
  </si>
  <si>
    <r>
      <rPr>
        <sz val="9"/>
        <rFont val="Arial"/>
        <family val="2"/>
      </rPr>
      <t xml:space="preserve">- WORST : </t>
    </r>
    <r>
      <rPr>
        <sz val="9"/>
        <rFont val="Noto Sans CJK SC"/>
        <family val="2"/>
      </rPr>
      <t>전 주에 베스트상품으로 예상했으나 판매가 저조한 상품 → 원인분석</t>
    </r>
    <r>
      <rPr>
        <sz val="9"/>
        <rFont val="Arial"/>
        <family val="2"/>
      </rPr>
      <t>(</t>
    </r>
    <r>
      <rPr>
        <sz val="9"/>
        <rFont val="Noto Sans CJK SC"/>
        <family val="2"/>
      </rPr>
      <t>상품자체</t>
    </r>
    <r>
      <rPr>
        <sz val="9"/>
        <rFont val="Arial"/>
        <family val="2"/>
      </rPr>
      <t>/</t>
    </r>
    <r>
      <rPr>
        <sz val="9"/>
        <rFont val="Noto Sans CJK SC"/>
        <family val="2"/>
      </rPr>
      <t>썸네일</t>
    </r>
    <r>
      <rPr>
        <sz val="9"/>
        <rFont val="Arial"/>
        <family val="2"/>
      </rPr>
      <t>/</t>
    </r>
    <r>
      <rPr>
        <sz val="9"/>
        <rFont val="Noto Sans CJK SC"/>
        <family val="2"/>
      </rPr>
      <t>상세페이지</t>
    </r>
    <r>
      <rPr>
        <sz val="9"/>
        <rFont val="Arial"/>
        <family val="2"/>
      </rPr>
      <t>/</t>
    </r>
    <r>
      <rPr>
        <sz val="9"/>
        <rFont val="Noto Sans CJK SC"/>
        <family val="2"/>
      </rPr>
      <t>가격</t>
    </r>
    <r>
      <rPr>
        <sz val="9"/>
        <rFont val="Arial"/>
        <family val="2"/>
      </rPr>
      <t>/</t>
    </r>
    <r>
      <rPr>
        <sz val="9"/>
        <rFont val="Noto Sans CJK SC"/>
        <family val="2"/>
      </rPr>
      <t>노출</t>
    </r>
    <r>
      <rPr>
        <sz val="9"/>
        <rFont val="Arial"/>
        <family val="2"/>
      </rPr>
      <t xml:space="preserve">) — </t>
    </r>
    <r>
      <rPr>
        <sz val="9"/>
        <rFont val="Noto Sans CJK SC"/>
        <family val="2"/>
      </rPr>
      <t xml:space="preserve">같은 시트의 </t>
    </r>
    <r>
      <rPr>
        <sz val="9"/>
        <rFont val="Arial"/>
        <family val="2"/>
      </rPr>
      <t>'</t>
    </r>
    <r>
      <rPr>
        <sz val="9"/>
        <rFont val="Noto Sans CJK SC"/>
        <family val="2"/>
      </rPr>
      <t>재검토 상품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 xml:space="preserve">열에 </t>
    </r>
    <r>
      <rPr>
        <sz val="9"/>
        <rFont val="Arial"/>
        <family val="2"/>
      </rPr>
      <t>O</t>
    </r>
    <r>
      <rPr>
        <sz val="9"/>
        <rFont val="Noto Sans CJK SC"/>
        <family val="2"/>
      </rPr>
      <t>로 표시</t>
    </r>
  </si>
  <si>
    <r>
      <rPr>
        <sz val="9"/>
        <rFont val="Arial"/>
        <family val="2"/>
      </rPr>
      <t>- HERO : '2.</t>
    </r>
    <r>
      <rPr>
        <sz val="9"/>
        <rFont val="Noto Sans CJK SC"/>
        <family val="2"/>
      </rPr>
      <t>주간상품체크</t>
    </r>
    <r>
      <rPr>
        <sz val="9"/>
        <rFont val="Arial"/>
        <family val="2"/>
      </rPr>
      <t>(</t>
    </r>
    <r>
      <rPr>
        <sz val="9"/>
        <rFont val="Noto Sans CJK SC"/>
        <family val="2"/>
      </rPr>
      <t>제작팀공유</t>
    </r>
    <r>
      <rPr>
        <sz val="9"/>
        <rFont val="Arial"/>
        <family val="2"/>
      </rPr>
      <t xml:space="preserve">)' </t>
    </r>
    <r>
      <rPr>
        <sz val="9"/>
        <rFont val="Noto Sans CJK SC"/>
        <family val="2"/>
      </rPr>
      <t xml:space="preserve">시트에서 노출 </t>
    </r>
    <r>
      <rPr>
        <sz val="9"/>
        <rFont val="Arial"/>
        <family val="2"/>
      </rPr>
      <t>48</t>
    </r>
    <r>
      <rPr>
        <sz val="9"/>
        <rFont val="Noto Sans CJK SC"/>
        <family val="2"/>
      </rPr>
      <t xml:space="preserve">시간 내 이미 </t>
    </r>
    <r>
      <rPr>
        <sz val="9"/>
        <rFont val="Arial"/>
        <family val="2"/>
      </rPr>
      <t>HERO</t>
    </r>
    <r>
      <rPr>
        <sz val="9"/>
        <rFont val="Noto Sans CJK SC"/>
        <family val="2"/>
      </rPr>
      <t>로 판정된 상품</t>
    </r>
  </si>
  <si>
    <r>
      <rPr>
        <b/>
        <sz val="14"/>
        <color rgb="FF1F3864"/>
        <rFont val="Arial"/>
        <family val="2"/>
      </rPr>
      <t xml:space="preserve">MD </t>
    </r>
    <r>
      <rPr>
        <b/>
        <sz val="14"/>
        <color rgb="FF1F3864"/>
        <rFont val="Noto Sans CJK SC"/>
        <family val="2"/>
      </rPr>
      <t xml:space="preserve">월간회의록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Noto Sans CJK SC"/>
        <family val="2"/>
      </rPr>
      <t>매월 마지막 주</t>
    </r>
    <r>
      <rPr>
        <b/>
        <sz val="14"/>
        <color rgb="FF1F3864"/>
        <rFont val="Arial"/>
        <family val="2"/>
      </rPr>
      <t>)</t>
    </r>
  </si>
  <si>
    <t>※ 다음 달 패션 키워드·트렌드·제작 방향을 정하고, 재고·현금화 상품과 다음 달 키워드·제작 방향을 함께 점검합니다.</t>
  </si>
  <si>
    <t>① 월간 회의 개요</t>
  </si>
  <si>
    <t>참석자</t>
  </si>
  <si>
    <t>작성일</t>
  </si>
  <si>
    <t>다음달 패션 키워드
(MD레이더 등)</t>
  </si>
  <si>
    <t>다음달 제작방향</t>
  </si>
  <si>
    <t>다음달 트렌드 및
컨텐츠 키워드</t>
  </si>
  <si>
    <t>종합메모</t>
  </si>
  <si>
    <t>이영미, 손수향, 박희라, 아름씨</t>
  </si>
  <si>
    <t>2026-08-28</t>
  </si>
  <si>
    <t>체크 패턴, 뉴트로 브라운, 와이드 팬츠</t>
  </si>
  <si>
    <t>가을 슬랙스/자켓 물량 확대, 니트 소재 조기 투입</t>
  </si>
  <si>
    <r>
      <rPr>
        <sz val="9"/>
        <color rgb="FF0000FF"/>
        <rFont val="Arial"/>
        <family val="2"/>
      </rPr>
      <t xml:space="preserve">Transformative Teal </t>
    </r>
    <r>
      <rPr>
        <sz val="9"/>
        <color rgb="FF0000FF"/>
        <rFont val="Noto Sans CJK SC"/>
        <family val="2"/>
      </rPr>
      <t>포인트 활용</t>
    </r>
    <r>
      <rPr>
        <sz val="9"/>
        <color rgb="FF0000FF"/>
        <rFont val="Arial"/>
        <family val="2"/>
      </rPr>
      <t xml:space="preserve">, 4050 </t>
    </r>
    <r>
      <rPr>
        <sz val="9"/>
        <color rgb="FF0000FF"/>
        <rFont val="Noto Sans CJK SC"/>
        <family val="2"/>
      </rPr>
      <t>출근룩 콘텐츠 강화</t>
    </r>
  </si>
  <si>
    <r>
      <rPr>
        <sz val="9"/>
        <color rgb="FF0000FF"/>
        <rFont val="Arial"/>
        <family val="2"/>
      </rPr>
      <t>9</t>
    </r>
    <r>
      <rPr>
        <sz val="9"/>
        <color rgb="FF0000FF"/>
        <rFont val="Noto Sans CJK SC"/>
        <family val="2"/>
      </rPr>
      <t>월 재고 소진과 신상품 밸런스 관리 필요</t>
    </r>
  </si>
  <si>
    <t>② 재고·현금화 상품 점검</t>
  </si>
  <si>
    <t>공급사상품명
(1번 시트 목록)</t>
  </si>
  <si>
    <t>재고수량</t>
  </si>
  <si>
    <t>현금화 방안
(할인/묶음/땡처리 등)</t>
  </si>
  <si>
    <t>다음달 키워드 연결</t>
  </si>
  <si>
    <t>다음달 제작방향 연결</t>
  </si>
  <si>
    <r>
      <rPr>
        <sz val="9"/>
        <color rgb="FF0000FF"/>
        <rFont val="Arial"/>
        <family val="2"/>
      </rPr>
      <t>2</t>
    </r>
    <r>
      <rPr>
        <sz val="9"/>
        <color rgb="FF0000FF"/>
        <rFont val="Noto Sans CJK SC"/>
        <family val="2"/>
      </rPr>
      <t>차 할인</t>
    </r>
    <r>
      <rPr>
        <sz val="9"/>
        <color rgb="FF0000FF"/>
        <rFont val="Arial"/>
        <family val="2"/>
      </rPr>
      <t>(10%) + 5</t>
    </r>
    <r>
      <rPr>
        <sz val="9"/>
        <color rgb="FF0000FF"/>
        <rFont val="Noto Sans CJK SC"/>
        <family val="2"/>
      </rPr>
      <t>일장 특가 노출</t>
    </r>
  </si>
  <si>
    <t>와이드 팬츠 키워드와 연결해 재소구</t>
  </si>
  <si>
    <t>가을 슬랙스 신상 촬영 시 서브컬러로 함께 노출</t>
  </si>
  <si>
    <r>
      <rPr>
        <sz val="9"/>
        <color rgb="FF0000FF"/>
        <rFont val="Arial"/>
        <family val="2"/>
      </rPr>
      <t>9</t>
    </r>
    <r>
      <rPr>
        <sz val="9"/>
        <color rgb="FF0000FF"/>
        <rFont val="Noto Sans CJK SC"/>
        <family val="2"/>
      </rPr>
      <t>월 첫째주까지 우선 소진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</si>
</sst>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yyyy\-mm\-dd"/>
    <numFmt numFmtId="177" formatCode="yyyy\-mm\-dd\ hh:mm"/>
    <numFmt numFmtId="178" formatCode="0.0"/>
    <numFmt numFmtId="179" formatCode="yyyy\-mm"/>
  </numFmts>
  <fonts count="38">
    <font>
      <sz val="11"/>
      <color theme="1"/>
      <name val="Calibri"/>
      <family val="2"/>
      <charset val="1"/>
    </font>
    <font>
      <sz val="11"/>
      <color theme="1"/>
      <name val="돋움"/>
      <family val="3"/>
      <charset val="129"/>
    </font>
    <font>
      <b/>
      <sz val="16"/>
      <color rgb="FF1F3864"/>
      <name val="Noto Sans CJK SC"/>
      <family val="2"/>
      <charset val="1"/>
    </font>
    <font>
      <b/>
      <sz val="12"/>
      <color rgb="FF1F3864"/>
      <name val="Noto Sans CJK SC"/>
      <family val="2"/>
      <charset val="1"/>
    </font>
    <font>
      <sz val="10"/>
      <name val="Noto Sans CJK SC"/>
      <family val="2"/>
      <charset val="1"/>
    </font>
    <font>
      <b/>
      <sz val="12"/>
      <color rgb="FF1F3864"/>
      <name val="돋움"/>
      <family val="3"/>
      <charset val="129"/>
    </font>
    <font>
      <sz val="10"/>
      <name val="돋움"/>
      <family val="3"/>
      <charset val="129"/>
    </font>
    <font>
      <b/>
      <sz val="10"/>
      <name val="Noto Sans CJK SC"/>
      <family val="2"/>
      <charset val="1"/>
    </font>
    <font>
      <b/>
      <sz val="10"/>
      <name val="돋움"/>
      <family val="3"/>
      <charset val="129"/>
    </font>
    <font>
      <b/>
      <sz val="10"/>
      <name val="Arial"/>
      <family val="2"/>
    </font>
    <font>
      <b/>
      <sz val="10"/>
      <name val="Noto Sans CJK SC"/>
      <family val="2"/>
    </font>
    <font>
      <b/>
      <sz val="12"/>
      <name val="돋움"/>
      <family val="3"/>
      <charset val="129"/>
    </font>
    <font>
      <sz val="10"/>
      <name val="Arial"/>
      <family val="2"/>
    </font>
    <font>
      <sz val="10"/>
      <name val="Noto Sans CJK SC"/>
      <family val="2"/>
    </font>
    <font>
      <b/>
      <sz val="10"/>
      <color rgb="FF000000"/>
      <name val="돋움"/>
      <family val="3"/>
      <charset val="129"/>
    </font>
    <font>
      <b/>
      <sz val="10"/>
      <color rgb="FF0000FF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i/>
      <sz val="10"/>
      <color rgb="FFC00000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Noto Sans CJK SC"/>
      <family val="2"/>
    </font>
    <font>
      <sz val="9"/>
      <color rgb="FF0000FF"/>
      <name val="Arial"/>
      <family val="2"/>
      <charset val="1"/>
    </font>
    <font>
      <sz val="9"/>
      <color rgb="FF0000FF"/>
      <name val="Noto Sans CJK SC"/>
      <family val="2"/>
      <charset val="1"/>
    </font>
    <font>
      <b/>
      <sz val="9"/>
      <color rgb="FFFFFFFF"/>
      <name val="돋움"/>
      <family val="3"/>
      <charset val="129"/>
    </font>
    <font>
      <sz val="9"/>
      <color rgb="FF000000"/>
      <name val="Noto Sans CJK SC"/>
      <family val="2"/>
      <charset val="1"/>
    </font>
    <font>
      <sz val="9"/>
      <color rgb="FF0000FF"/>
      <name val="돋움"/>
      <family val="3"/>
      <charset val="129"/>
    </font>
    <font>
      <b/>
      <sz val="9"/>
      <color rgb="FF0000FF"/>
      <name val="Arial"/>
      <family val="2"/>
      <charset val="1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Noto Sans CJK SC"/>
      <family val="2"/>
    </font>
    <font>
      <b/>
      <sz val="14"/>
      <color rgb="FF1F3864"/>
      <name val="Arial"/>
      <family val="2"/>
    </font>
    <font>
      <b/>
      <sz val="14"/>
      <color rgb="FF1F3864"/>
      <name val="Noto Sans CJK SC"/>
      <family val="2"/>
    </font>
    <font>
      <i/>
      <sz val="9"/>
      <color rgb="FFC00000"/>
      <name val="Noto Sans CJK SC"/>
      <family val="2"/>
      <charset val="1"/>
    </font>
    <font>
      <b/>
      <sz val="11"/>
      <color rgb="FF1F3864"/>
      <name val="Noto Sans CJK SC"/>
      <family val="2"/>
      <charset val="1"/>
    </font>
    <font>
      <sz val="9"/>
      <color rgb="FF0000FF"/>
      <name val="Arial"/>
      <family val="2"/>
    </font>
    <font>
      <sz val="9"/>
      <name val="Arial"/>
      <family val="2"/>
    </font>
    <font>
      <sz val="9"/>
      <name val="Noto Sans CJK SC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5" tint="-0.249977111117893"/>
        <bgColor rgb="FF99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5" fillId="0" borderId="0" xfId="0" applyFont="1" applyBorder="1" applyAlignment="1">
      <alignment vertical="center" wrapText="1"/>
    </xf>
    <xf numFmtId="0" fontId="32" fillId="0" borderId="0" xfId="0" applyFont="1" applyBorder="1" applyAlignment="1">
      <alignment vertical="center" wrapText="1"/>
    </xf>
    <xf numFmtId="0" fontId="30" fillId="0" borderId="0" xfId="0" applyFont="1" applyBorder="1" applyAlignment="1"/>
    <xf numFmtId="0" fontId="19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Border="1" applyAlignment="1"/>
    <xf numFmtId="0" fontId="0" fillId="0" borderId="0" xfId="0" applyAlignment="1"/>
    <xf numFmtId="0" fontId="1" fillId="0" borderId="0" xfId="0" applyFont="1" applyAlignment="1"/>
    <xf numFmtId="0" fontId="3" fillId="0" borderId="0" xfId="0" applyFont="1" applyAlignment="1"/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1" fillId="0" borderId="0" xfId="0" applyFont="1" applyAlignment="1"/>
    <xf numFmtId="0" fontId="9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4" fillId="0" borderId="1" xfId="0" applyFont="1" applyBorder="1" applyAlignment="1"/>
    <xf numFmtId="0" fontId="6" fillId="0" borderId="1" xfId="0" applyFont="1" applyBorder="1" applyAlignment="1"/>
    <xf numFmtId="0" fontId="15" fillId="0" borderId="0" xfId="0" applyFont="1" applyAlignment="1"/>
    <xf numFmtId="0" fontId="4" fillId="0" borderId="0" xfId="0" applyFont="1" applyAlignment="1"/>
    <xf numFmtId="0" fontId="16" fillId="0" borderId="0" xfId="0" applyFont="1" applyAlignment="1"/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176" fontId="21" fillId="0" borderId="2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3" fontId="22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76" fontId="0" fillId="0" borderId="0" xfId="0" applyNumberFormat="1" applyAlignment="1"/>
    <xf numFmtId="0" fontId="18" fillId="3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177" fontId="22" fillId="0" borderId="2" xfId="0" applyNumberFormat="1" applyFont="1" applyBorder="1" applyAlignment="1">
      <alignment horizontal="center" vertical="center" wrapText="1"/>
    </xf>
    <xf numFmtId="30" fontId="24" fillId="0" borderId="2" xfId="0" applyNumberFormat="1" applyFont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center" vertical="center" wrapText="1"/>
    </xf>
    <xf numFmtId="176" fontId="21" fillId="4" borderId="2" xfId="0" applyNumberFormat="1" applyFont="1" applyFill="1" applyBorder="1" applyAlignment="1">
      <alignment horizontal="center" vertical="center" wrapText="1"/>
    </xf>
    <xf numFmtId="176" fontId="22" fillId="4" borderId="2" xfId="0" applyNumberFormat="1" applyFont="1" applyFill="1" applyBorder="1" applyAlignment="1">
      <alignment horizontal="center" vertical="center" wrapText="1"/>
    </xf>
    <xf numFmtId="176" fontId="22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177" fontId="21" fillId="0" borderId="2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77" fontId="26" fillId="0" borderId="3" xfId="0" applyNumberFormat="1" applyFont="1" applyBorder="1" applyAlignment="1">
      <alignment horizontal="left" vertical="center" wrapText="1"/>
    </xf>
    <xf numFmtId="176" fontId="21" fillId="0" borderId="0" xfId="0" applyNumberFormat="1" applyFont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3" fontId="28" fillId="0" borderId="2" xfId="0" applyNumberFormat="1" applyFont="1" applyBorder="1" applyAlignment="1">
      <alignment horizontal="center" vertical="center" wrapText="1"/>
    </xf>
    <xf numFmtId="178" fontId="21" fillId="0" borderId="2" xfId="0" applyNumberFormat="1" applyFont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33" fillId="0" borderId="0" xfId="0" applyFont="1" applyAlignment="1"/>
    <xf numFmtId="0" fontId="34" fillId="0" borderId="2" xfId="0" applyFont="1" applyBorder="1" applyAlignment="1">
      <alignment horizontal="center" vertical="center" wrapText="1"/>
    </xf>
    <xf numFmtId="179" fontId="34" fillId="0" borderId="2" xfId="0" applyNumberFormat="1" applyFont="1" applyBorder="1" applyAlignment="1">
      <alignment horizontal="center" vertical="center" wrapText="1"/>
    </xf>
    <xf numFmtId="176" fontId="34" fillId="0" borderId="2" xfId="0" applyNumberFormat="1" applyFont="1" applyBorder="1" applyAlignment="1">
      <alignment horizontal="center" vertical="center" wrapText="1"/>
    </xf>
    <xf numFmtId="3" fontId="34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53735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"/>
  <sheetViews>
    <sheetView showGridLines="0" topLeftCell="A10" zoomScaleNormal="100" workbookViewId="0">
      <selection activeCell="B24" sqref="B24"/>
    </sheetView>
  </sheetViews>
  <sheetFormatPr defaultColWidth="8.7109375" defaultRowHeight="15"/>
  <cols>
    <col min="1" max="1" width="3" style="10" customWidth="1"/>
    <col min="2" max="2" width="32" style="11" customWidth="1"/>
    <col min="3" max="3" width="95" style="11" customWidth="1"/>
  </cols>
  <sheetData>
    <row r="2" spans="2:3" ht="19.5" customHeight="1">
      <c r="B2" s="9" t="s">
        <v>0</v>
      </c>
      <c r="C2" s="9"/>
    </row>
    <row r="4" spans="2:3" ht="15" customHeight="1">
      <c r="B4" s="12" t="s">
        <v>1</v>
      </c>
    </row>
    <row r="5" spans="2:3" ht="15" customHeight="1">
      <c r="B5" s="8" t="s">
        <v>2</v>
      </c>
      <c r="C5" s="8"/>
    </row>
    <row r="6" spans="2:3" ht="15" customHeight="1">
      <c r="B6" s="8" t="s">
        <v>3</v>
      </c>
      <c r="C6" s="8"/>
    </row>
    <row r="7" spans="2:3" ht="15" customHeight="1">
      <c r="B7" s="8" t="s">
        <v>4</v>
      </c>
      <c r="C7" s="8"/>
    </row>
    <row r="8" spans="2:3" ht="15" customHeight="1">
      <c r="B8" s="8" t="s">
        <v>5</v>
      </c>
      <c r="C8" s="8"/>
    </row>
    <row r="9" spans="2:3" ht="15" customHeight="1">
      <c r="B9" s="7" t="s">
        <v>6</v>
      </c>
      <c r="C9" s="7"/>
    </row>
    <row r="10" spans="2:3" ht="26.25" customHeight="1">
      <c r="B10" s="13"/>
    </row>
    <row r="11" spans="2:3" ht="48" customHeight="1">
      <c r="B11" s="14" t="s">
        <v>7</v>
      </c>
      <c r="C11" s="15"/>
    </row>
    <row r="12" spans="2:3" ht="48" customHeight="1">
      <c r="B12" s="16" t="s">
        <v>8</v>
      </c>
      <c r="C12" s="17" t="s">
        <v>9</v>
      </c>
    </row>
    <row r="13" spans="2:3" ht="15" customHeight="1">
      <c r="B13" s="18"/>
    </row>
    <row r="14" spans="2:3" ht="48" customHeight="1">
      <c r="B14" s="16" t="s">
        <v>10</v>
      </c>
      <c r="C14" s="17" t="s">
        <v>11</v>
      </c>
    </row>
    <row r="15" spans="2:3" ht="57.75" customHeight="1">
      <c r="B15" s="19"/>
      <c r="C15" s="15"/>
    </row>
    <row r="16" spans="2:3" ht="57.75" customHeight="1">
      <c r="B16" s="19"/>
      <c r="C16" s="15"/>
    </row>
    <row r="17" spans="2:3" ht="15" customHeight="1">
      <c r="B17" s="12" t="s">
        <v>12</v>
      </c>
    </row>
    <row r="18" spans="2:3" ht="66" customHeight="1">
      <c r="B18" s="20" t="s">
        <v>13</v>
      </c>
      <c r="C18" s="21" t="s">
        <v>14</v>
      </c>
    </row>
    <row r="19" spans="2:3" ht="15" customHeight="1">
      <c r="B19" s="22"/>
    </row>
    <row r="20" spans="2:3" ht="66" customHeight="1">
      <c r="B20" s="23" t="s">
        <v>15</v>
      </c>
      <c r="C20" s="24" t="s">
        <v>16</v>
      </c>
    </row>
    <row r="21" spans="2:3" ht="15" customHeight="1">
      <c r="B21" s="25"/>
      <c r="C21" s="26"/>
    </row>
    <row r="22" spans="2:3" ht="66" customHeight="1">
      <c r="B22" s="23" t="s">
        <v>17</v>
      </c>
      <c r="C22" s="24" t="s">
        <v>18</v>
      </c>
    </row>
    <row r="24" spans="2:3" s="11" customFormat="1" ht="66" customHeight="1">
      <c r="B24" s="20" t="s">
        <v>19</v>
      </c>
      <c r="C24" s="21" t="s">
        <v>20</v>
      </c>
    </row>
    <row r="25" spans="2:3" ht="15" customHeight="1"/>
    <row r="26" spans="2:3" ht="66" customHeight="1">
      <c r="B26" s="20" t="s">
        <v>21</v>
      </c>
      <c r="C26" s="21" t="s">
        <v>22</v>
      </c>
    </row>
    <row r="29" spans="2:3" ht="15" customHeight="1">
      <c r="B29" s="12" t="s">
        <v>23</v>
      </c>
    </row>
    <row r="30" spans="2:3" ht="15" customHeight="1">
      <c r="B30" s="27" t="s">
        <v>24</v>
      </c>
      <c r="C30" s="28" t="s">
        <v>25</v>
      </c>
    </row>
    <row r="31" spans="2:3" ht="15" customHeight="1">
      <c r="B31" s="29" t="s">
        <v>26</v>
      </c>
      <c r="C31" s="28" t="s">
        <v>27</v>
      </c>
    </row>
    <row r="32" spans="2:3" ht="15" customHeight="1">
      <c r="B32" s="29" t="s">
        <v>28</v>
      </c>
      <c r="C32" s="28" t="s">
        <v>29</v>
      </c>
    </row>
    <row r="34" spans="2:3" ht="75" customHeight="1">
      <c r="B34" s="6" t="s">
        <v>30</v>
      </c>
      <c r="C34" s="6"/>
    </row>
    <row r="35" spans="2:3" ht="15" customHeight="1">
      <c r="B35" s="6"/>
      <c r="C35" s="6"/>
    </row>
    <row r="36" spans="2:3" ht="15" customHeight="1">
      <c r="B36" s="6"/>
      <c r="C36" s="6"/>
    </row>
    <row r="37" spans="2:3" ht="15" customHeight="1">
      <c r="B37" s="6"/>
      <c r="C37" s="6"/>
    </row>
  </sheetData>
  <mergeCells count="7">
    <mergeCell ref="B9:C9"/>
    <mergeCell ref="B34:C37"/>
    <mergeCell ref="B2:C2"/>
    <mergeCell ref="B5:C5"/>
    <mergeCell ref="B6:C6"/>
    <mergeCell ref="B7:C7"/>
    <mergeCell ref="B8:C8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0" sqref="D30"/>
    </sheetView>
  </sheetViews>
  <sheetFormatPr defaultColWidth="8.7109375" defaultRowHeight="15"/>
  <cols>
    <col min="1" max="1" width="8.28515625" style="10" customWidth="1"/>
    <col min="2" max="2" width="31.7109375" style="10" customWidth="1"/>
    <col min="3" max="3" width="9.5703125" style="10" customWidth="1"/>
    <col min="4" max="4" width="23.7109375" style="10" customWidth="1"/>
    <col min="5" max="5" width="11.5703125" style="10" customWidth="1"/>
    <col min="6" max="6" width="16" style="10" customWidth="1"/>
    <col min="7" max="7" width="12" style="10" customWidth="1"/>
    <col min="8" max="8" width="11.5703125" style="10" customWidth="1"/>
    <col min="9" max="9" width="10" style="10" customWidth="1"/>
    <col min="10" max="10" width="16" style="10" customWidth="1"/>
  </cols>
  <sheetData>
    <row r="1" spans="1:10" ht="18" customHeight="1">
      <c r="A1" s="5" t="s">
        <v>31</v>
      </c>
      <c r="B1" s="5" t="s">
        <v>32</v>
      </c>
      <c r="C1" s="5" t="s">
        <v>33</v>
      </c>
      <c r="D1" s="5" t="s">
        <v>34</v>
      </c>
      <c r="E1" s="4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</row>
    <row r="2" spans="1:10" ht="30" customHeigh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39" customHeight="1">
      <c r="A3" s="32">
        <v>46252</v>
      </c>
      <c r="B3" s="33" t="s">
        <v>41</v>
      </c>
      <c r="C3" s="34"/>
      <c r="D3" s="33" t="s">
        <v>42</v>
      </c>
      <c r="E3" s="35" t="s">
        <v>43</v>
      </c>
      <c r="F3" s="33" t="s">
        <v>44</v>
      </c>
      <c r="G3" s="33" t="s">
        <v>45</v>
      </c>
      <c r="H3" s="32" t="s">
        <v>46</v>
      </c>
      <c r="I3" s="33" t="s">
        <v>47</v>
      </c>
      <c r="J3" s="35" t="s">
        <v>48</v>
      </c>
    </row>
    <row r="4" spans="1:10" ht="14.25" customHeight="1">
      <c r="A4" s="36"/>
      <c r="B4" s="33"/>
      <c r="C4" s="34"/>
      <c r="D4" s="35"/>
      <c r="E4" s="35"/>
      <c r="F4" s="35"/>
      <c r="G4" s="35"/>
      <c r="H4" s="32"/>
      <c r="I4" s="33"/>
      <c r="J4" s="35"/>
    </row>
    <row r="5" spans="1:10" ht="15" customHeight="1">
      <c r="A5" s="36"/>
      <c r="B5" s="33"/>
      <c r="C5" s="34"/>
      <c r="D5" s="35"/>
      <c r="E5" s="35"/>
      <c r="F5" s="35"/>
      <c r="G5" s="35"/>
      <c r="H5" s="32"/>
      <c r="I5" s="33"/>
      <c r="J5" s="35"/>
    </row>
    <row r="6" spans="1:10" ht="15" customHeight="1">
      <c r="A6" s="36"/>
      <c r="B6" s="33"/>
      <c r="C6" s="34"/>
      <c r="D6" s="35"/>
      <c r="E6" s="35"/>
      <c r="F6" s="35"/>
      <c r="G6" s="35"/>
      <c r="H6" s="32"/>
      <c r="I6" s="33"/>
      <c r="J6" s="35"/>
    </row>
    <row r="7" spans="1:10" ht="15" customHeight="1">
      <c r="A7" s="32">
        <v>46258</v>
      </c>
      <c r="B7" s="33"/>
      <c r="C7" s="34"/>
      <c r="D7" s="35"/>
      <c r="E7" s="35"/>
      <c r="F7" s="35"/>
      <c r="G7" s="35"/>
      <c r="H7" s="32"/>
      <c r="I7" s="33"/>
      <c r="J7" s="35"/>
    </row>
    <row r="8" spans="1:10" ht="15" customHeight="1">
      <c r="A8" s="32"/>
      <c r="B8" s="33"/>
      <c r="C8" s="34"/>
      <c r="D8" s="35"/>
      <c r="E8" s="35"/>
      <c r="F8" s="35"/>
      <c r="G8" s="35"/>
      <c r="H8" s="32"/>
      <c r="I8" s="33"/>
      <c r="J8" s="35"/>
    </row>
    <row r="9" spans="1:10" ht="15" customHeight="1">
      <c r="A9" s="32"/>
      <c r="B9" s="33"/>
      <c r="C9" s="34"/>
      <c r="D9" s="35"/>
      <c r="E9" s="35"/>
      <c r="F9" s="35"/>
      <c r="G9" s="35"/>
      <c r="H9" s="32"/>
      <c r="I9" s="33"/>
      <c r="J9" s="35"/>
    </row>
    <row r="10" spans="1:10" ht="15" customHeight="1">
      <c r="A10" s="32"/>
      <c r="B10" s="33"/>
      <c r="C10" s="34"/>
      <c r="D10" s="35"/>
      <c r="E10" s="35"/>
      <c r="F10" s="35"/>
      <c r="G10" s="35"/>
      <c r="H10" s="32"/>
      <c r="I10" s="33"/>
      <c r="J10" s="35"/>
    </row>
    <row r="11" spans="1:10" ht="15" customHeight="1">
      <c r="A11" s="32"/>
      <c r="B11" s="33"/>
      <c r="C11" s="34"/>
      <c r="D11" s="35"/>
      <c r="E11" s="35"/>
      <c r="F11" s="35"/>
      <c r="G11" s="35"/>
      <c r="H11" s="32"/>
      <c r="I11" s="33"/>
      <c r="J11" s="35"/>
    </row>
    <row r="12" spans="1:10" ht="15" customHeight="1">
      <c r="A12" s="32"/>
      <c r="B12" s="33"/>
      <c r="C12" s="34"/>
      <c r="D12" s="35"/>
      <c r="E12" s="35"/>
      <c r="F12" s="35"/>
      <c r="G12" s="35"/>
      <c r="H12" s="32"/>
      <c r="I12" s="33"/>
      <c r="J12" s="35"/>
    </row>
    <row r="13" spans="1:10" ht="15" customHeight="1">
      <c r="A13" s="32"/>
      <c r="B13" s="33"/>
      <c r="C13" s="34"/>
      <c r="D13" s="35"/>
      <c r="E13" s="35"/>
      <c r="F13" s="35"/>
      <c r="G13" s="35"/>
      <c r="H13" s="32"/>
      <c r="I13" s="33"/>
      <c r="J13" s="35"/>
    </row>
    <row r="14" spans="1:10" ht="15" customHeight="1">
      <c r="A14" s="32"/>
      <c r="B14" s="33"/>
      <c r="C14" s="34"/>
      <c r="D14" s="35"/>
      <c r="E14" s="35"/>
      <c r="F14" s="35"/>
      <c r="G14" s="35"/>
      <c r="H14" s="32"/>
      <c r="I14" s="33"/>
      <c r="J14" s="35"/>
    </row>
    <row r="15" spans="1:10" ht="15" customHeight="1">
      <c r="A15" s="32"/>
      <c r="B15" s="33"/>
      <c r="C15" s="34"/>
      <c r="D15" s="35"/>
      <c r="E15" s="35"/>
      <c r="F15" s="35"/>
      <c r="G15" s="35"/>
      <c r="H15" s="32"/>
      <c r="I15" s="33"/>
      <c r="J15" s="35"/>
    </row>
    <row r="16" spans="1:10" ht="15" customHeight="1">
      <c r="A16" s="32"/>
      <c r="B16" s="33"/>
      <c r="C16" s="34"/>
      <c r="D16" s="35"/>
      <c r="E16" s="35"/>
      <c r="F16" s="35"/>
      <c r="G16" s="35"/>
      <c r="H16" s="32"/>
      <c r="I16" s="33"/>
      <c r="J16" s="35"/>
    </row>
    <row r="17" spans="1:10" ht="15" customHeight="1">
      <c r="A17" s="32"/>
      <c r="B17" s="33"/>
      <c r="C17" s="34"/>
      <c r="D17" s="35"/>
      <c r="E17" s="35"/>
      <c r="F17" s="35"/>
      <c r="G17" s="35"/>
      <c r="H17" s="32"/>
      <c r="I17" s="33"/>
      <c r="J17" s="35"/>
    </row>
    <row r="18" spans="1:10" ht="15" customHeight="1">
      <c r="A18" s="32"/>
      <c r="B18" s="33"/>
      <c r="C18" s="34"/>
      <c r="D18" s="35"/>
      <c r="E18" s="35"/>
      <c r="F18" s="35"/>
      <c r="G18" s="35"/>
      <c r="H18" s="32"/>
      <c r="I18" s="33"/>
      <c r="J18" s="35"/>
    </row>
    <row r="19" spans="1:10" ht="15" customHeight="1">
      <c r="A19" s="32"/>
      <c r="B19" s="33"/>
      <c r="C19" s="34"/>
      <c r="D19" s="35"/>
      <c r="E19" s="35"/>
      <c r="F19" s="35"/>
      <c r="G19" s="35"/>
      <c r="H19" s="32"/>
      <c r="I19" s="33"/>
      <c r="J19" s="35"/>
    </row>
    <row r="20" spans="1:10" ht="15" customHeight="1">
      <c r="A20" s="32"/>
      <c r="B20" s="33"/>
      <c r="C20" s="34"/>
      <c r="D20" s="35"/>
      <c r="E20" s="35"/>
      <c r="F20" s="35"/>
      <c r="G20" s="35"/>
      <c r="H20" s="32"/>
      <c r="I20" s="33"/>
      <c r="J20" s="35"/>
    </row>
    <row r="21" spans="1:10" ht="15" customHeight="1">
      <c r="A21" s="32"/>
      <c r="B21" s="33"/>
      <c r="C21" s="34"/>
      <c r="D21" s="35"/>
      <c r="E21" s="35"/>
      <c r="F21" s="35"/>
      <c r="G21" s="35"/>
      <c r="H21" s="32"/>
      <c r="I21" s="33"/>
      <c r="J21" s="35"/>
    </row>
    <row r="22" spans="1:10" ht="15" customHeight="1">
      <c r="A22" s="32"/>
      <c r="B22" s="33"/>
      <c r="C22" s="34"/>
      <c r="D22" s="35"/>
      <c r="E22" s="35"/>
      <c r="F22" s="35"/>
      <c r="G22" s="35"/>
      <c r="H22" s="32"/>
      <c r="I22" s="33"/>
      <c r="J22" s="35"/>
    </row>
    <row r="23" spans="1:10" ht="15" customHeight="1">
      <c r="A23" s="32"/>
      <c r="B23" s="33"/>
      <c r="C23" s="34"/>
      <c r="D23" s="35"/>
      <c r="E23" s="35"/>
      <c r="F23" s="35"/>
      <c r="G23" s="35"/>
      <c r="H23" s="32"/>
      <c r="I23" s="33"/>
      <c r="J23" s="35"/>
    </row>
  </sheetData>
  <mergeCells count="10"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7" type="noConversion"/>
  <dataValidations count="3">
    <dataValidation type="list" allowBlank="1" sqref="I3:I23">
      <formula1>"소싱중,샘플중,발주완료,촬영중,노출대기,노출완료"</formula1>
      <formula2>0</formula2>
    </dataValidation>
    <dataValidation type="list" allowBlank="1" sqref="E3:E23">
      <formula1>"O,X"</formula1>
      <formula2>0</formula2>
    </dataValidation>
    <dataValidation type="custom" allowBlank="1" showErrorMessage="1" errorTitle="띄어쓰기 금지" error="공급사상품명은 띄어쓰기 없이 붙여써주세요. (예: 보타스트레이트슬랙스)" sqref="B3:B23">
      <formula1>ISERROR(FIND(" ",B3))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3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8" sqref="G18"/>
    </sheetView>
  </sheetViews>
  <sheetFormatPr defaultColWidth="8.7109375" defaultRowHeight="15"/>
  <cols>
    <col min="1" max="1" width="5" style="10" customWidth="1"/>
    <col min="2" max="2" width="20" style="10" customWidth="1"/>
    <col min="3" max="3" width="24.42578125" style="10" customWidth="1"/>
    <col min="4" max="5" width="12" style="10" customWidth="1"/>
    <col min="6" max="6" width="12.42578125" style="10" customWidth="1"/>
    <col min="7" max="9" width="10.28515625" style="10" customWidth="1"/>
    <col min="10" max="10" width="11" style="10" customWidth="1"/>
    <col min="11" max="11" width="10.140625" style="10" customWidth="1"/>
    <col min="12" max="12" width="21.140625" style="10" customWidth="1"/>
    <col min="13" max="13" width="11" style="10" customWidth="1"/>
    <col min="14" max="14" width="19.7109375" style="10" customWidth="1"/>
    <col min="15" max="15" width="23.85546875" style="10" customWidth="1"/>
    <col min="16" max="16" width="13.42578125" style="10" customWidth="1"/>
    <col min="17" max="17" width="27.42578125" style="10" customWidth="1"/>
  </cols>
  <sheetData>
    <row r="1" spans="1:17" ht="33.75" customHeight="1">
      <c r="A1" s="30" t="s">
        <v>49</v>
      </c>
      <c r="B1" s="30" t="s">
        <v>50</v>
      </c>
      <c r="C1" s="30" t="s">
        <v>51</v>
      </c>
      <c r="D1" s="30" t="s">
        <v>31</v>
      </c>
      <c r="E1" s="31" t="s">
        <v>52</v>
      </c>
      <c r="F1" s="30" t="s">
        <v>53</v>
      </c>
      <c r="G1" s="30" t="s">
        <v>54</v>
      </c>
      <c r="H1" s="30" t="s">
        <v>55</v>
      </c>
      <c r="I1" s="30" t="s">
        <v>56</v>
      </c>
      <c r="J1" s="30" t="s">
        <v>57</v>
      </c>
      <c r="K1" s="31" t="s">
        <v>58</v>
      </c>
      <c r="L1" s="37" t="s">
        <v>59</v>
      </c>
      <c r="M1" s="30" t="s">
        <v>60</v>
      </c>
      <c r="N1" s="37" t="s">
        <v>59</v>
      </c>
      <c r="O1" s="37" t="s">
        <v>61</v>
      </c>
      <c r="P1" s="38" t="s">
        <v>62</v>
      </c>
      <c r="Q1" s="30" t="s">
        <v>63</v>
      </c>
    </row>
    <row r="2" spans="1:17" ht="26.25" customHeight="1">
      <c r="A2" s="35">
        <v>1</v>
      </c>
      <c r="B2" s="33" t="s">
        <v>41</v>
      </c>
      <c r="C2" s="39" t="s">
        <v>64</v>
      </c>
      <c r="D2" s="32">
        <v>46259</v>
      </c>
      <c r="E2" s="40">
        <f t="shared" ref="E2:E22" si="0">IF(D2="","",D2+2)</f>
        <v>46261</v>
      </c>
      <c r="F2" s="35">
        <v>1280</v>
      </c>
      <c r="G2" s="41">
        <v>42</v>
      </c>
      <c r="H2" s="41"/>
      <c r="I2" s="41"/>
      <c r="J2" s="35">
        <v>2352000</v>
      </c>
      <c r="K2" s="42" t="s">
        <v>43</v>
      </c>
      <c r="L2" s="43" t="s">
        <v>65</v>
      </c>
      <c r="M2" s="35" t="s">
        <v>43</v>
      </c>
      <c r="N2" s="33" t="s">
        <v>66</v>
      </c>
      <c r="O2" s="44" t="s">
        <v>67</v>
      </c>
      <c r="P2" s="35" t="s">
        <v>43</v>
      </c>
      <c r="Q2" s="45" t="s">
        <v>43</v>
      </c>
    </row>
    <row r="3" spans="1:17" ht="15" customHeight="1">
      <c r="A3" s="35">
        <v>2</v>
      </c>
      <c r="B3" s="33"/>
      <c r="C3" s="46"/>
      <c r="D3" s="32"/>
      <c r="E3" s="47" t="str">
        <f t="shared" si="0"/>
        <v/>
      </c>
      <c r="F3" s="35"/>
      <c r="G3" s="41"/>
      <c r="H3" s="41"/>
      <c r="I3" s="41"/>
      <c r="J3" s="35"/>
      <c r="K3" s="32"/>
      <c r="L3" s="32"/>
      <c r="M3" s="35"/>
      <c r="N3" s="35"/>
      <c r="O3" s="32"/>
      <c r="P3" s="35"/>
      <c r="Q3" s="35"/>
    </row>
    <row r="4" spans="1:17" ht="15" customHeight="1">
      <c r="A4" s="35">
        <v>3</v>
      </c>
      <c r="B4" s="33"/>
      <c r="C4" s="46"/>
      <c r="D4" s="32"/>
      <c r="E4" s="47" t="str">
        <f t="shared" si="0"/>
        <v/>
      </c>
      <c r="F4" s="35"/>
      <c r="G4" s="41"/>
      <c r="H4" s="41"/>
      <c r="I4" s="41"/>
      <c r="J4" s="35"/>
      <c r="K4" s="32"/>
      <c r="L4" s="32"/>
      <c r="M4" s="35"/>
      <c r="N4" s="35"/>
      <c r="O4" s="32"/>
      <c r="P4" s="35"/>
      <c r="Q4" s="35"/>
    </row>
    <row r="5" spans="1:17" ht="15" customHeight="1">
      <c r="A5" s="35">
        <v>4</v>
      </c>
      <c r="B5" s="33"/>
      <c r="C5" s="46"/>
      <c r="D5" s="32"/>
      <c r="E5" s="47" t="str">
        <f t="shared" si="0"/>
        <v/>
      </c>
      <c r="F5" s="35"/>
      <c r="G5" s="41"/>
      <c r="H5" s="41"/>
      <c r="I5" s="41"/>
      <c r="J5" s="35"/>
      <c r="K5" s="32"/>
      <c r="L5" s="32"/>
      <c r="M5" s="35"/>
      <c r="N5" s="35"/>
      <c r="O5" s="32"/>
      <c r="P5" s="35"/>
      <c r="Q5" s="35"/>
    </row>
    <row r="6" spans="1:17" ht="15" customHeight="1">
      <c r="A6" s="35">
        <v>5</v>
      </c>
      <c r="B6" s="33"/>
      <c r="C6" s="46"/>
      <c r="D6" s="32"/>
      <c r="E6" s="47" t="str">
        <f t="shared" si="0"/>
        <v/>
      </c>
      <c r="F6" s="35"/>
      <c r="G6" s="41"/>
      <c r="H6" s="41"/>
      <c r="I6" s="41"/>
      <c r="J6" s="35"/>
      <c r="K6" s="32"/>
      <c r="L6" s="32"/>
      <c r="M6" s="35"/>
      <c r="N6" s="35"/>
      <c r="O6" s="32"/>
      <c r="P6" s="35"/>
      <c r="Q6" s="35"/>
    </row>
    <row r="7" spans="1:17" ht="15" customHeight="1">
      <c r="A7" s="35">
        <v>6</v>
      </c>
      <c r="B7" s="33"/>
      <c r="C7" s="46"/>
      <c r="D7" s="32"/>
      <c r="E7" s="47" t="str">
        <f t="shared" si="0"/>
        <v/>
      </c>
      <c r="F7" s="35"/>
      <c r="G7" s="41"/>
      <c r="H7" s="41"/>
      <c r="I7" s="41"/>
      <c r="J7" s="35"/>
      <c r="K7" s="32"/>
      <c r="L7" s="32"/>
      <c r="M7" s="35"/>
      <c r="N7" s="35"/>
      <c r="O7" s="32"/>
      <c r="P7" s="35"/>
      <c r="Q7" s="35"/>
    </row>
    <row r="8" spans="1:17" ht="15" customHeight="1">
      <c r="A8" s="35">
        <v>7</v>
      </c>
      <c r="B8" s="33"/>
      <c r="C8" s="46"/>
      <c r="D8" s="32"/>
      <c r="E8" s="47" t="str">
        <f t="shared" si="0"/>
        <v/>
      </c>
      <c r="F8" s="35"/>
      <c r="G8" s="41"/>
      <c r="H8" s="41"/>
      <c r="I8" s="41"/>
      <c r="J8" s="35"/>
      <c r="K8" s="32"/>
      <c r="L8" s="32"/>
      <c r="M8" s="35"/>
      <c r="N8" s="35"/>
      <c r="O8" s="32"/>
      <c r="P8" s="35"/>
      <c r="Q8" s="35"/>
    </row>
    <row r="9" spans="1:17" ht="15" customHeight="1">
      <c r="A9" s="35">
        <v>8</v>
      </c>
      <c r="B9" s="33"/>
      <c r="C9" s="46"/>
      <c r="D9" s="32"/>
      <c r="E9" s="47" t="str">
        <f t="shared" si="0"/>
        <v/>
      </c>
      <c r="F9" s="35"/>
      <c r="G9" s="41"/>
      <c r="H9" s="41"/>
      <c r="I9" s="41"/>
      <c r="J9" s="35"/>
      <c r="K9" s="32"/>
      <c r="L9" s="32"/>
      <c r="M9" s="35"/>
      <c r="N9" s="35"/>
      <c r="O9" s="32"/>
      <c r="P9" s="35"/>
      <c r="Q9" s="35"/>
    </row>
    <row r="10" spans="1:17" ht="15" customHeight="1">
      <c r="A10" s="35">
        <v>9</v>
      </c>
      <c r="B10" s="33"/>
      <c r="C10" s="46"/>
      <c r="D10" s="32"/>
      <c r="E10" s="47" t="str">
        <f t="shared" si="0"/>
        <v/>
      </c>
      <c r="F10" s="35"/>
      <c r="G10" s="41"/>
      <c r="H10" s="41"/>
      <c r="I10" s="41"/>
      <c r="J10" s="35"/>
      <c r="K10" s="32"/>
      <c r="L10" s="32"/>
      <c r="M10" s="35"/>
      <c r="N10" s="35"/>
      <c r="O10" s="32"/>
      <c r="P10" s="35"/>
      <c r="Q10" s="35"/>
    </row>
    <row r="11" spans="1:17" ht="15" customHeight="1">
      <c r="A11" s="35">
        <v>10</v>
      </c>
      <c r="B11" s="33"/>
      <c r="C11" s="46"/>
      <c r="D11" s="32"/>
      <c r="E11" s="47" t="str">
        <f t="shared" si="0"/>
        <v/>
      </c>
      <c r="F11" s="35"/>
      <c r="G11" s="41"/>
      <c r="H11" s="41"/>
      <c r="I11" s="41"/>
      <c r="J11" s="35"/>
      <c r="K11" s="32"/>
      <c r="L11" s="32"/>
      <c r="M11" s="35"/>
      <c r="N11" s="35"/>
      <c r="O11" s="32"/>
      <c r="P11" s="35"/>
      <c r="Q11" s="35"/>
    </row>
    <row r="12" spans="1:17" ht="15" customHeight="1">
      <c r="A12" s="35">
        <v>11</v>
      </c>
      <c r="B12" s="33"/>
      <c r="C12" s="46"/>
      <c r="D12" s="32"/>
      <c r="E12" s="47" t="str">
        <f t="shared" si="0"/>
        <v/>
      </c>
      <c r="F12" s="35"/>
      <c r="G12" s="41"/>
      <c r="H12" s="41"/>
      <c r="I12" s="41"/>
      <c r="J12" s="35"/>
      <c r="K12" s="32"/>
      <c r="L12" s="32"/>
      <c r="M12" s="35"/>
      <c r="N12" s="35"/>
      <c r="O12" s="32"/>
      <c r="P12" s="35"/>
      <c r="Q12" s="35"/>
    </row>
    <row r="13" spans="1:17" ht="15" customHeight="1">
      <c r="A13" s="35">
        <v>12</v>
      </c>
      <c r="B13" s="33"/>
      <c r="C13" s="46"/>
      <c r="D13" s="32"/>
      <c r="E13" s="47" t="str">
        <f t="shared" si="0"/>
        <v/>
      </c>
      <c r="F13" s="35"/>
      <c r="G13" s="41"/>
      <c r="H13" s="41"/>
      <c r="I13" s="41"/>
      <c r="J13" s="35"/>
      <c r="K13" s="32"/>
      <c r="L13" s="32"/>
      <c r="M13" s="35"/>
      <c r="N13" s="35"/>
      <c r="O13" s="32"/>
      <c r="P13" s="35"/>
      <c r="Q13" s="35"/>
    </row>
    <row r="14" spans="1:17" ht="15" customHeight="1">
      <c r="A14" s="35">
        <v>13</v>
      </c>
      <c r="B14" s="33"/>
      <c r="C14" s="46"/>
      <c r="D14" s="32"/>
      <c r="E14" s="47" t="str">
        <f t="shared" si="0"/>
        <v/>
      </c>
      <c r="F14" s="35"/>
      <c r="G14" s="41"/>
      <c r="H14" s="41"/>
      <c r="I14" s="41"/>
      <c r="J14" s="35"/>
      <c r="K14" s="32"/>
      <c r="L14" s="32"/>
      <c r="M14" s="35"/>
      <c r="N14" s="35"/>
      <c r="O14" s="32"/>
      <c r="P14" s="35"/>
      <c r="Q14" s="35"/>
    </row>
    <row r="15" spans="1:17" ht="15" customHeight="1">
      <c r="A15" s="35">
        <v>14</v>
      </c>
      <c r="B15" s="33"/>
      <c r="C15" s="46"/>
      <c r="D15" s="32"/>
      <c r="E15" s="47" t="str">
        <f t="shared" si="0"/>
        <v/>
      </c>
      <c r="F15" s="35"/>
      <c r="G15" s="41"/>
      <c r="H15" s="41"/>
      <c r="I15" s="41"/>
      <c r="J15" s="35"/>
      <c r="K15" s="32"/>
      <c r="L15" s="32"/>
      <c r="M15" s="35"/>
      <c r="N15" s="35"/>
      <c r="O15" s="32"/>
      <c r="P15" s="35"/>
      <c r="Q15" s="35"/>
    </row>
    <row r="16" spans="1:17" ht="15" customHeight="1">
      <c r="A16" s="35">
        <v>15</v>
      </c>
      <c r="B16" s="33"/>
      <c r="C16" s="46"/>
      <c r="D16" s="32"/>
      <c r="E16" s="47" t="str">
        <f t="shared" si="0"/>
        <v/>
      </c>
      <c r="F16" s="35"/>
      <c r="G16" s="41"/>
      <c r="H16" s="41"/>
      <c r="I16" s="41"/>
      <c r="J16" s="35"/>
      <c r="K16" s="32"/>
      <c r="L16" s="32"/>
      <c r="M16" s="35"/>
      <c r="N16" s="35"/>
      <c r="O16" s="32"/>
      <c r="P16" s="35"/>
      <c r="Q16" s="35"/>
    </row>
    <row r="17" spans="1:17" ht="15" customHeight="1">
      <c r="A17" s="35">
        <v>16</v>
      </c>
      <c r="B17" s="33"/>
      <c r="C17" s="46"/>
      <c r="D17" s="32"/>
      <c r="E17" s="47" t="str">
        <f t="shared" si="0"/>
        <v/>
      </c>
      <c r="F17" s="35"/>
      <c r="G17" s="41"/>
      <c r="H17" s="41"/>
      <c r="I17" s="41"/>
      <c r="J17" s="35"/>
      <c r="K17" s="32"/>
      <c r="L17" s="32"/>
      <c r="M17" s="35"/>
      <c r="N17" s="35"/>
      <c r="O17" s="32"/>
      <c r="P17" s="35"/>
      <c r="Q17" s="35"/>
    </row>
    <row r="18" spans="1:17" ht="15" customHeight="1">
      <c r="A18" s="35">
        <v>17</v>
      </c>
      <c r="B18" s="33"/>
      <c r="C18" s="46"/>
      <c r="D18" s="32"/>
      <c r="E18" s="47" t="str">
        <f t="shared" si="0"/>
        <v/>
      </c>
      <c r="F18" s="35"/>
      <c r="G18" s="41"/>
      <c r="H18" s="41"/>
      <c r="I18" s="41"/>
      <c r="J18" s="35"/>
      <c r="K18" s="32"/>
      <c r="L18" s="32"/>
      <c r="M18" s="35"/>
      <c r="N18" s="35"/>
      <c r="O18" s="32"/>
      <c r="P18" s="35"/>
      <c r="Q18" s="35"/>
    </row>
    <row r="19" spans="1:17" ht="15" customHeight="1">
      <c r="A19" s="35">
        <v>18</v>
      </c>
      <c r="B19" s="33"/>
      <c r="C19" s="46"/>
      <c r="D19" s="32"/>
      <c r="E19" s="47" t="str">
        <f t="shared" si="0"/>
        <v/>
      </c>
      <c r="F19" s="35"/>
      <c r="G19" s="41"/>
      <c r="H19" s="41"/>
      <c r="I19" s="41"/>
      <c r="J19" s="35"/>
      <c r="K19" s="32"/>
      <c r="L19" s="32"/>
      <c r="M19" s="35"/>
      <c r="N19" s="35"/>
      <c r="O19" s="32"/>
      <c r="P19" s="35"/>
      <c r="Q19" s="35"/>
    </row>
    <row r="20" spans="1:17" ht="15" customHeight="1">
      <c r="A20" s="35">
        <v>19</v>
      </c>
      <c r="B20" s="33"/>
      <c r="C20" s="46"/>
      <c r="D20" s="32"/>
      <c r="E20" s="47" t="str">
        <f t="shared" si="0"/>
        <v/>
      </c>
      <c r="F20" s="35"/>
      <c r="G20" s="41"/>
      <c r="H20" s="41"/>
      <c r="I20" s="41"/>
      <c r="J20" s="35"/>
      <c r="K20" s="32"/>
      <c r="L20" s="32"/>
      <c r="M20" s="35"/>
      <c r="N20" s="35"/>
      <c r="O20" s="32"/>
      <c r="P20" s="35"/>
      <c r="Q20" s="35"/>
    </row>
    <row r="21" spans="1:17" ht="15" customHeight="1">
      <c r="A21" s="35">
        <v>20</v>
      </c>
      <c r="B21" s="33"/>
      <c r="C21" s="46"/>
      <c r="D21" s="32"/>
      <c r="E21" s="47" t="str">
        <f t="shared" si="0"/>
        <v/>
      </c>
      <c r="F21" s="35"/>
      <c r="G21" s="41"/>
      <c r="H21" s="41"/>
      <c r="I21" s="41"/>
      <c r="J21" s="35"/>
      <c r="K21" s="32"/>
      <c r="L21" s="32"/>
      <c r="M21" s="35"/>
      <c r="N21" s="35"/>
      <c r="O21" s="32"/>
      <c r="P21" s="35"/>
      <c r="Q21" s="35"/>
    </row>
    <row r="22" spans="1:17" ht="15" customHeight="1">
      <c r="A22" s="35">
        <v>21</v>
      </c>
      <c r="B22" s="33"/>
      <c r="C22" s="46"/>
      <c r="D22" s="32"/>
      <c r="E22" s="47" t="str">
        <f t="shared" si="0"/>
        <v/>
      </c>
      <c r="F22" s="35"/>
      <c r="G22" s="41"/>
      <c r="H22" s="41"/>
      <c r="I22" s="41"/>
      <c r="J22" s="35"/>
      <c r="K22" s="32"/>
      <c r="L22" s="32"/>
      <c r="M22" s="35"/>
      <c r="N22" s="35"/>
      <c r="O22" s="32"/>
      <c r="P22" s="35"/>
      <c r="Q22" s="35"/>
    </row>
    <row r="23" spans="1:17" ht="15" customHeight="1">
      <c r="A23" s="48"/>
      <c r="B23" s="49"/>
      <c r="C23" s="50"/>
      <c r="D23" s="36"/>
      <c r="J23" s="48"/>
      <c r="K23" s="51"/>
      <c r="L23" s="51"/>
      <c r="M23" s="48"/>
      <c r="N23" s="48"/>
      <c r="O23" s="51"/>
      <c r="P23" s="48"/>
      <c r="Q23" s="48"/>
    </row>
  </sheetData>
  <phoneticPr fontId="37" type="noConversion"/>
  <dataValidations count="1">
    <dataValidation type="list" allowBlank="1" sqref="K2:K23 M2:M23 P2:Q23">
      <formula1>"O,X"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'1.상품스케줄표'!$B$3:$B$23</xm:f>
          </x14:formula1>
          <x14:formula2>
            <xm:f>0</xm:f>
          </x14:formula2>
          <xm:sqref>B2:B23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2"/>
  <sheetViews>
    <sheetView showGridLines="0"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9" sqref="E29"/>
    </sheetView>
  </sheetViews>
  <sheetFormatPr defaultColWidth="8.7109375" defaultRowHeight="15"/>
  <cols>
    <col min="1" max="1" width="9" style="10" customWidth="1"/>
    <col min="2" max="2" width="20" style="10" customWidth="1"/>
    <col min="3" max="3" width="17" style="10" customWidth="1"/>
    <col min="4" max="4" width="16" style="10" customWidth="1"/>
    <col min="5" max="5" width="12" style="10" customWidth="1"/>
    <col min="6" max="9" width="13" style="10" customWidth="1"/>
    <col min="10" max="10" width="10" style="10" customWidth="1"/>
    <col min="11" max="12" width="16" style="10" customWidth="1"/>
  </cols>
  <sheetData>
    <row r="1" spans="1:11" ht="33.75" customHeight="1">
      <c r="A1" s="30" t="s">
        <v>68</v>
      </c>
      <c r="B1" s="30" t="s">
        <v>69</v>
      </c>
      <c r="C1" s="30" t="s">
        <v>70</v>
      </c>
      <c r="D1" s="30" t="s">
        <v>71</v>
      </c>
      <c r="E1" s="52" t="s">
        <v>72</v>
      </c>
      <c r="F1" s="30" t="s">
        <v>73</v>
      </c>
      <c r="G1" s="30" t="s">
        <v>74</v>
      </c>
      <c r="H1" s="30" t="s">
        <v>75</v>
      </c>
      <c r="I1" s="31" t="s">
        <v>76</v>
      </c>
      <c r="J1" s="30" t="s">
        <v>77</v>
      </c>
      <c r="K1" s="30" t="s">
        <v>40</v>
      </c>
    </row>
    <row r="2" spans="1:11" ht="26.25" customHeight="1">
      <c r="A2" s="35" t="s">
        <v>78</v>
      </c>
      <c r="B2" s="33" t="s">
        <v>64</v>
      </c>
      <c r="C2" s="47" t="str">
        <f>IFERROR(INDEX('2.주간상품체크(제작팀공유)'!$B:$B,MATCH(B2,'2.주간상품체크(제작팀공유)'!$C:$C,0)),"")</f>
        <v>보타스트레이트슬랙스</v>
      </c>
      <c r="D2" s="47" t="str">
        <f>IFERROR(INDEX('1.상품스케줄표'!$D:$D,MATCH(C2,'1.상품스케줄표'!$B:$B,0)),"")</f>
        <v>가을 스트레이트 슬랙스</v>
      </c>
      <c r="E2" s="53" t="str">
        <f>IFERROR(INDEX('2.주간상품체크(제작팀공유)'!$K:$K,MATCH(B2,'2.주간상품체크(제작팀공유)'!$C:$C,0)),"")</f>
        <v>O</v>
      </c>
      <c r="F2" s="41">
        <v>356</v>
      </c>
      <c r="G2" s="41">
        <v>19936000</v>
      </c>
      <c r="H2" s="54">
        <v>32.5</v>
      </c>
      <c r="I2" s="55" t="s">
        <v>79</v>
      </c>
      <c r="J2" s="56">
        <f t="shared" ref="J2:J22" si="0">IF(H2="","",RANK(H2,$H$2:$H$21))</f>
        <v>1</v>
      </c>
      <c r="K2" s="35" t="s">
        <v>80</v>
      </c>
    </row>
    <row r="3" spans="1:11" ht="15" customHeight="1">
      <c r="A3" s="35"/>
      <c r="B3" s="35"/>
      <c r="C3" s="47" t="str">
        <f>IFERROR(INDEX('2.주간상품체크(제작팀공유)'!$B:$B,MATCH(B3,'2.주간상품체크(제작팀공유)'!$C:$C,0)),"")</f>
        <v/>
      </c>
      <c r="D3" s="47" t="str">
        <f>IFERROR(INDEX('1.상품스케줄표'!$D:$D,MATCH(C3,'1.상품스케줄표'!$B:$B,0)),"")</f>
        <v/>
      </c>
      <c r="E3" s="53" t="str">
        <f>IFERROR(INDEX('2.주간상품체크(제작팀공유)'!$K:$K,MATCH(B3,'2.주간상품체크(제작팀공유)'!$C:$C,0)),"")</f>
        <v/>
      </c>
      <c r="F3" s="41"/>
      <c r="G3" s="41"/>
      <c r="H3" s="54"/>
      <c r="I3" s="35"/>
      <c r="J3" s="56" t="str">
        <f t="shared" si="0"/>
        <v/>
      </c>
      <c r="K3" s="35"/>
    </row>
    <row r="4" spans="1:11" ht="15" customHeight="1">
      <c r="A4" s="35"/>
      <c r="B4" s="35"/>
      <c r="C4" s="47" t="str">
        <f>IFERROR(INDEX('2.주간상품체크(제작팀공유)'!$B:$B,MATCH(B4,'2.주간상품체크(제작팀공유)'!$C:$C,0)),"")</f>
        <v/>
      </c>
      <c r="D4" s="47" t="str">
        <f>IFERROR(INDEX('1.상품스케줄표'!$D:$D,MATCH(C4,'1.상품스케줄표'!$B:$B,0)),"")</f>
        <v/>
      </c>
      <c r="E4" s="53" t="str">
        <f>IFERROR(INDEX('2.주간상품체크(제작팀공유)'!$K:$K,MATCH(B4,'2.주간상품체크(제작팀공유)'!$C:$C,0)),"")</f>
        <v/>
      </c>
      <c r="F4" s="41"/>
      <c r="G4" s="41"/>
      <c r="H4" s="54"/>
      <c r="I4" s="35"/>
      <c r="J4" s="56" t="str">
        <f t="shared" si="0"/>
        <v/>
      </c>
      <c r="K4" s="35"/>
    </row>
    <row r="5" spans="1:11" ht="15" customHeight="1">
      <c r="A5" s="35"/>
      <c r="B5" s="35"/>
      <c r="C5" s="47" t="str">
        <f>IFERROR(INDEX('2.주간상품체크(제작팀공유)'!$B:$B,MATCH(B5,'2.주간상품체크(제작팀공유)'!$C:$C,0)),"")</f>
        <v/>
      </c>
      <c r="D5" s="47" t="str">
        <f>IFERROR(INDEX('1.상품스케줄표'!$D:$D,MATCH(C5,'1.상품스케줄표'!$B:$B,0)),"")</f>
        <v/>
      </c>
      <c r="E5" s="53" t="str">
        <f>IFERROR(INDEX('2.주간상품체크(제작팀공유)'!$K:$K,MATCH(B5,'2.주간상품체크(제작팀공유)'!$C:$C,0)),"")</f>
        <v/>
      </c>
      <c r="F5" s="41"/>
      <c r="G5" s="41"/>
      <c r="H5" s="54"/>
      <c r="I5" s="35"/>
      <c r="J5" s="56" t="str">
        <f t="shared" si="0"/>
        <v/>
      </c>
      <c r="K5" s="35"/>
    </row>
    <row r="6" spans="1:11" ht="15" customHeight="1">
      <c r="A6" s="35"/>
      <c r="B6" s="35"/>
      <c r="C6" s="47" t="str">
        <f>IFERROR(INDEX('2.주간상품체크(제작팀공유)'!$B:$B,MATCH(B6,'2.주간상품체크(제작팀공유)'!$C:$C,0)),"")</f>
        <v/>
      </c>
      <c r="D6" s="47" t="str">
        <f>IFERROR(INDEX('1.상품스케줄표'!$D:$D,MATCH(C6,'1.상품스케줄표'!$B:$B,0)),"")</f>
        <v/>
      </c>
      <c r="E6" s="53" t="str">
        <f>IFERROR(INDEX('2.주간상품체크(제작팀공유)'!$K:$K,MATCH(B6,'2.주간상품체크(제작팀공유)'!$C:$C,0)),"")</f>
        <v/>
      </c>
      <c r="F6" s="41"/>
      <c r="G6" s="41"/>
      <c r="H6" s="54"/>
      <c r="I6" s="35"/>
      <c r="J6" s="56" t="str">
        <f t="shared" si="0"/>
        <v/>
      </c>
      <c r="K6" s="35"/>
    </row>
    <row r="7" spans="1:11" ht="15" customHeight="1">
      <c r="A7" s="35"/>
      <c r="B7" s="35"/>
      <c r="C7" s="47" t="str">
        <f>IFERROR(INDEX('2.주간상품체크(제작팀공유)'!$B:$B,MATCH(B7,'2.주간상품체크(제작팀공유)'!$C:$C,0)),"")</f>
        <v/>
      </c>
      <c r="D7" s="47" t="str">
        <f>IFERROR(INDEX('1.상품스케줄표'!$D:$D,MATCH(C7,'1.상품스케줄표'!$B:$B,0)),"")</f>
        <v/>
      </c>
      <c r="E7" s="53" t="str">
        <f>IFERROR(INDEX('2.주간상품체크(제작팀공유)'!$K:$K,MATCH(B7,'2.주간상품체크(제작팀공유)'!$C:$C,0)),"")</f>
        <v/>
      </c>
      <c r="F7" s="41"/>
      <c r="G7" s="41"/>
      <c r="H7" s="54"/>
      <c r="I7" s="35"/>
      <c r="J7" s="56" t="str">
        <f t="shared" si="0"/>
        <v/>
      </c>
      <c r="K7" s="35"/>
    </row>
    <row r="8" spans="1:11" ht="15" customHeight="1">
      <c r="A8" s="35"/>
      <c r="B8" s="35"/>
      <c r="C8" s="47" t="str">
        <f>IFERROR(INDEX('2.주간상품체크(제작팀공유)'!$B:$B,MATCH(B8,'2.주간상품체크(제작팀공유)'!$C:$C,0)),"")</f>
        <v/>
      </c>
      <c r="D8" s="47" t="str">
        <f>IFERROR(INDEX('1.상품스케줄표'!$D:$D,MATCH(C8,'1.상품스케줄표'!$B:$B,0)),"")</f>
        <v/>
      </c>
      <c r="E8" s="53" t="str">
        <f>IFERROR(INDEX('2.주간상품체크(제작팀공유)'!$K:$K,MATCH(B8,'2.주간상품체크(제작팀공유)'!$C:$C,0)),"")</f>
        <v/>
      </c>
      <c r="F8" s="41"/>
      <c r="G8" s="41"/>
      <c r="H8" s="54"/>
      <c r="I8" s="35"/>
      <c r="J8" s="56" t="str">
        <f t="shared" si="0"/>
        <v/>
      </c>
      <c r="K8" s="35"/>
    </row>
    <row r="9" spans="1:11" ht="15" customHeight="1">
      <c r="A9" s="35"/>
      <c r="B9" s="35"/>
      <c r="C9" s="47" t="str">
        <f>IFERROR(INDEX('2.주간상품체크(제작팀공유)'!$B:$B,MATCH(B9,'2.주간상품체크(제작팀공유)'!$C:$C,0)),"")</f>
        <v/>
      </c>
      <c r="D9" s="47" t="str">
        <f>IFERROR(INDEX('1.상품스케줄표'!$D:$D,MATCH(C9,'1.상품스케줄표'!$B:$B,0)),"")</f>
        <v/>
      </c>
      <c r="E9" s="53" t="str">
        <f>IFERROR(INDEX('2.주간상품체크(제작팀공유)'!$K:$K,MATCH(B9,'2.주간상품체크(제작팀공유)'!$C:$C,0)),"")</f>
        <v/>
      </c>
      <c r="F9" s="41"/>
      <c r="G9" s="41"/>
      <c r="H9" s="54"/>
      <c r="I9" s="35"/>
      <c r="J9" s="56" t="str">
        <f t="shared" si="0"/>
        <v/>
      </c>
      <c r="K9" s="35"/>
    </row>
    <row r="10" spans="1:11" ht="15" customHeight="1">
      <c r="A10" s="35"/>
      <c r="B10" s="35"/>
      <c r="C10" s="47" t="str">
        <f>IFERROR(INDEX('2.주간상품체크(제작팀공유)'!$B:$B,MATCH(B10,'2.주간상품체크(제작팀공유)'!$C:$C,0)),"")</f>
        <v/>
      </c>
      <c r="D10" s="47" t="str">
        <f>IFERROR(INDEX('1.상품스케줄표'!$D:$D,MATCH(C10,'1.상품스케줄표'!$B:$B,0)),"")</f>
        <v/>
      </c>
      <c r="E10" s="53" t="str">
        <f>IFERROR(INDEX('2.주간상품체크(제작팀공유)'!$K:$K,MATCH(B10,'2.주간상품체크(제작팀공유)'!$C:$C,0)),"")</f>
        <v/>
      </c>
      <c r="F10" s="41"/>
      <c r="G10" s="41"/>
      <c r="H10" s="54"/>
      <c r="I10" s="35"/>
      <c r="J10" s="56" t="str">
        <f t="shared" si="0"/>
        <v/>
      </c>
      <c r="K10" s="35"/>
    </row>
    <row r="11" spans="1:11" ht="15" customHeight="1">
      <c r="A11" s="35"/>
      <c r="B11" s="35"/>
      <c r="C11" s="47" t="str">
        <f>IFERROR(INDEX('2.주간상품체크(제작팀공유)'!$B:$B,MATCH(B11,'2.주간상품체크(제작팀공유)'!$C:$C,0)),"")</f>
        <v/>
      </c>
      <c r="D11" s="47" t="str">
        <f>IFERROR(INDEX('1.상품스케줄표'!$D:$D,MATCH(C11,'1.상품스케줄표'!$B:$B,0)),"")</f>
        <v/>
      </c>
      <c r="E11" s="53" t="str">
        <f>IFERROR(INDEX('2.주간상품체크(제작팀공유)'!$K:$K,MATCH(B11,'2.주간상품체크(제작팀공유)'!$C:$C,0)),"")</f>
        <v/>
      </c>
      <c r="F11" s="41"/>
      <c r="G11" s="41"/>
      <c r="H11" s="54"/>
      <c r="I11" s="35"/>
      <c r="J11" s="56" t="str">
        <f t="shared" si="0"/>
        <v/>
      </c>
      <c r="K11" s="35"/>
    </row>
    <row r="12" spans="1:11" ht="15" customHeight="1">
      <c r="A12" s="35"/>
      <c r="B12" s="35"/>
      <c r="C12" s="47" t="str">
        <f>IFERROR(INDEX('2.주간상품체크(제작팀공유)'!$B:$B,MATCH(B12,'2.주간상품체크(제작팀공유)'!$C:$C,0)),"")</f>
        <v/>
      </c>
      <c r="D12" s="47" t="str">
        <f>IFERROR(INDEX('1.상품스케줄표'!$D:$D,MATCH(C12,'1.상품스케줄표'!$B:$B,0)),"")</f>
        <v/>
      </c>
      <c r="E12" s="53" t="str">
        <f>IFERROR(INDEX('2.주간상품체크(제작팀공유)'!$K:$K,MATCH(B12,'2.주간상품체크(제작팀공유)'!$C:$C,0)),"")</f>
        <v/>
      </c>
      <c r="F12" s="41"/>
      <c r="G12" s="41"/>
      <c r="H12" s="54"/>
      <c r="I12" s="35"/>
      <c r="J12" s="56" t="str">
        <f t="shared" si="0"/>
        <v/>
      </c>
      <c r="K12" s="35"/>
    </row>
    <row r="13" spans="1:11" ht="15" customHeight="1">
      <c r="A13" s="35"/>
      <c r="B13" s="35"/>
      <c r="C13" s="47" t="str">
        <f>IFERROR(INDEX('2.주간상품체크(제작팀공유)'!$B:$B,MATCH(B13,'2.주간상품체크(제작팀공유)'!$C:$C,0)),"")</f>
        <v/>
      </c>
      <c r="D13" s="47" t="str">
        <f>IFERROR(INDEX('1.상품스케줄표'!$D:$D,MATCH(C13,'1.상품스케줄표'!$B:$B,0)),"")</f>
        <v/>
      </c>
      <c r="E13" s="53" t="str">
        <f>IFERROR(INDEX('2.주간상품체크(제작팀공유)'!$K:$K,MATCH(B13,'2.주간상품체크(제작팀공유)'!$C:$C,0)),"")</f>
        <v/>
      </c>
      <c r="F13" s="41"/>
      <c r="G13" s="41"/>
      <c r="H13" s="54"/>
      <c r="I13" s="35"/>
      <c r="J13" s="56" t="str">
        <f t="shared" si="0"/>
        <v/>
      </c>
      <c r="K13" s="35"/>
    </row>
    <row r="14" spans="1:11" ht="15" customHeight="1">
      <c r="A14" s="35"/>
      <c r="B14" s="35"/>
      <c r="C14" s="47" t="str">
        <f>IFERROR(INDEX('2.주간상품체크(제작팀공유)'!$B:$B,MATCH(B14,'2.주간상품체크(제작팀공유)'!$C:$C,0)),"")</f>
        <v/>
      </c>
      <c r="D14" s="47" t="str">
        <f>IFERROR(INDEX('1.상품스케줄표'!$D:$D,MATCH(C14,'1.상품스케줄표'!$B:$B,0)),"")</f>
        <v/>
      </c>
      <c r="E14" s="53" t="str">
        <f>IFERROR(INDEX('2.주간상품체크(제작팀공유)'!$K:$K,MATCH(B14,'2.주간상품체크(제작팀공유)'!$C:$C,0)),"")</f>
        <v/>
      </c>
      <c r="F14" s="41"/>
      <c r="G14" s="41"/>
      <c r="H14" s="54"/>
      <c r="I14" s="35"/>
      <c r="J14" s="56" t="str">
        <f t="shared" si="0"/>
        <v/>
      </c>
      <c r="K14" s="35"/>
    </row>
    <row r="15" spans="1:11" ht="15" customHeight="1">
      <c r="A15" s="35"/>
      <c r="B15" s="35"/>
      <c r="C15" s="47" t="str">
        <f>IFERROR(INDEX('2.주간상품체크(제작팀공유)'!$B:$B,MATCH(B15,'2.주간상품체크(제작팀공유)'!$C:$C,0)),"")</f>
        <v/>
      </c>
      <c r="D15" s="47" t="str">
        <f>IFERROR(INDEX('1.상품스케줄표'!$D:$D,MATCH(C15,'1.상품스케줄표'!$B:$B,0)),"")</f>
        <v/>
      </c>
      <c r="E15" s="53" t="str">
        <f>IFERROR(INDEX('2.주간상품체크(제작팀공유)'!$K:$K,MATCH(B15,'2.주간상품체크(제작팀공유)'!$C:$C,0)),"")</f>
        <v/>
      </c>
      <c r="F15" s="41"/>
      <c r="G15" s="41"/>
      <c r="H15" s="54"/>
      <c r="I15" s="35"/>
      <c r="J15" s="56" t="str">
        <f t="shared" si="0"/>
        <v/>
      </c>
      <c r="K15" s="35"/>
    </row>
    <row r="16" spans="1:11" ht="15" customHeight="1">
      <c r="A16" s="35"/>
      <c r="B16" s="35"/>
      <c r="C16" s="47" t="str">
        <f>IFERROR(INDEX('2.주간상품체크(제작팀공유)'!$B:$B,MATCH(B16,'2.주간상품체크(제작팀공유)'!$C:$C,0)),"")</f>
        <v/>
      </c>
      <c r="D16" s="47" t="str">
        <f>IFERROR(INDEX('1.상품스케줄표'!$D:$D,MATCH(C16,'1.상품스케줄표'!$B:$B,0)),"")</f>
        <v/>
      </c>
      <c r="E16" s="53" t="str">
        <f>IFERROR(INDEX('2.주간상품체크(제작팀공유)'!$K:$K,MATCH(B16,'2.주간상품체크(제작팀공유)'!$C:$C,0)),"")</f>
        <v/>
      </c>
      <c r="F16" s="41"/>
      <c r="G16" s="41"/>
      <c r="H16" s="54"/>
      <c r="I16" s="35"/>
      <c r="J16" s="56" t="str">
        <f t="shared" si="0"/>
        <v/>
      </c>
      <c r="K16" s="35"/>
    </row>
    <row r="17" spans="1:11" ht="15" customHeight="1">
      <c r="A17" s="35"/>
      <c r="B17" s="35"/>
      <c r="C17" s="47" t="str">
        <f>IFERROR(INDEX('2.주간상품체크(제작팀공유)'!$B:$B,MATCH(B17,'2.주간상품체크(제작팀공유)'!$C:$C,0)),"")</f>
        <v/>
      </c>
      <c r="D17" s="47" t="str">
        <f>IFERROR(INDEX('1.상품스케줄표'!$D:$D,MATCH(C17,'1.상품스케줄표'!$B:$B,0)),"")</f>
        <v/>
      </c>
      <c r="E17" s="53" t="str">
        <f>IFERROR(INDEX('2.주간상품체크(제작팀공유)'!$K:$K,MATCH(B17,'2.주간상품체크(제작팀공유)'!$C:$C,0)),"")</f>
        <v/>
      </c>
      <c r="F17" s="41"/>
      <c r="G17" s="41"/>
      <c r="H17" s="54"/>
      <c r="I17" s="35"/>
      <c r="J17" s="56" t="str">
        <f t="shared" si="0"/>
        <v/>
      </c>
      <c r="K17" s="35"/>
    </row>
    <row r="18" spans="1:11" ht="15" customHeight="1">
      <c r="A18" s="35"/>
      <c r="B18" s="35"/>
      <c r="C18" s="47" t="str">
        <f>IFERROR(INDEX('2.주간상품체크(제작팀공유)'!$B:$B,MATCH(B18,'2.주간상품체크(제작팀공유)'!$C:$C,0)),"")</f>
        <v/>
      </c>
      <c r="D18" s="47" t="str">
        <f>IFERROR(INDEX('1.상품스케줄표'!$D:$D,MATCH(C18,'1.상품스케줄표'!$B:$B,0)),"")</f>
        <v/>
      </c>
      <c r="E18" s="53" t="str">
        <f>IFERROR(INDEX('2.주간상품체크(제작팀공유)'!$K:$K,MATCH(B18,'2.주간상품체크(제작팀공유)'!$C:$C,0)),"")</f>
        <v/>
      </c>
      <c r="F18" s="41"/>
      <c r="G18" s="41"/>
      <c r="H18" s="54"/>
      <c r="I18" s="35"/>
      <c r="J18" s="56" t="str">
        <f t="shared" si="0"/>
        <v/>
      </c>
      <c r="K18" s="35"/>
    </row>
    <row r="19" spans="1:11" ht="15" customHeight="1">
      <c r="A19" s="35"/>
      <c r="B19" s="35"/>
      <c r="C19" s="47" t="str">
        <f>IFERROR(INDEX('2.주간상품체크(제작팀공유)'!$B:$B,MATCH(B19,'2.주간상품체크(제작팀공유)'!$C:$C,0)),"")</f>
        <v/>
      </c>
      <c r="D19" s="47" t="str">
        <f>IFERROR(INDEX('1.상품스케줄표'!$D:$D,MATCH(C19,'1.상품스케줄표'!$B:$B,0)),"")</f>
        <v/>
      </c>
      <c r="E19" s="53" t="str">
        <f>IFERROR(INDEX('2.주간상품체크(제작팀공유)'!$K:$K,MATCH(B19,'2.주간상품체크(제작팀공유)'!$C:$C,0)),"")</f>
        <v/>
      </c>
      <c r="F19" s="41"/>
      <c r="G19" s="41"/>
      <c r="H19" s="54"/>
      <c r="I19" s="35"/>
      <c r="J19" s="56" t="str">
        <f t="shared" si="0"/>
        <v/>
      </c>
      <c r="K19" s="35"/>
    </row>
    <row r="20" spans="1:11" ht="15" customHeight="1">
      <c r="A20" s="35"/>
      <c r="B20" s="35"/>
      <c r="C20" s="47" t="str">
        <f>IFERROR(INDEX('2.주간상품체크(제작팀공유)'!$B:$B,MATCH(B20,'2.주간상품체크(제작팀공유)'!$C:$C,0)),"")</f>
        <v/>
      </c>
      <c r="D20" s="47" t="str">
        <f>IFERROR(INDEX('1.상품스케줄표'!$D:$D,MATCH(C20,'1.상품스케줄표'!$B:$B,0)),"")</f>
        <v/>
      </c>
      <c r="E20" s="53" t="str">
        <f>IFERROR(INDEX('2.주간상품체크(제작팀공유)'!$K:$K,MATCH(B20,'2.주간상품체크(제작팀공유)'!$C:$C,0)),"")</f>
        <v/>
      </c>
      <c r="F20" s="41"/>
      <c r="G20" s="41"/>
      <c r="H20" s="54"/>
      <c r="I20" s="35"/>
      <c r="J20" s="56" t="str">
        <f t="shared" si="0"/>
        <v/>
      </c>
      <c r="K20" s="35"/>
    </row>
    <row r="21" spans="1:11" ht="15" customHeight="1">
      <c r="A21" s="35"/>
      <c r="B21" s="35"/>
      <c r="C21" s="47" t="str">
        <f>IFERROR(INDEX('2.주간상품체크(제작팀공유)'!$B:$B,MATCH(B21,'2.주간상품체크(제작팀공유)'!$C:$C,0)),"")</f>
        <v/>
      </c>
      <c r="D21" s="47" t="str">
        <f>IFERROR(INDEX('1.상품스케줄표'!$D:$D,MATCH(C21,'1.상품스케줄표'!$B:$B,0)),"")</f>
        <v/>
      </c>
      <c r="E21" s="53" t="str">
        <f>IFERROR(INDEX('2.주간상품체크(제작팀공유)'!$K:$K,MATCH(B21,'2.주간상품체크(제작팀공유)'!$C:$C,0)),"")</f>
        <v/>
      </c>
      <c r="F21" s="41"/>
      <c r="G21" s="41"/>
      <c r="H21" s="54"/>
      <c r="I21" s="35"/>
      <c r="J21" s="56" t="str">
        <f t="shared" si="0"/>
        <v/>
      </c>
      <c r="K21" s="35"/>
    </row>
    <row r="22" spans="1:11" ht="15" customHeight="1">
      <c r="A22" s="35"/>
      <c r="B22" s="35"/>
      <c r="C22" s="47" t="str">
        <f>IFERROR(INDEX('2.주간상품체크(제작팀공유)'!$B:$B,MATCH(B22,'2.주간상품체크(제작팀공유)'!$C:$C,0)),"")</f>
        <v/>
      </c>
      <c r="D22" s="47" t="str">
        <f>IFERROR(INDEX('1.상품스케줄표'!$D:$D,MATCH(C22,'1.상품스케줄표'!$B:$B,0)),"")</f>
        <v/>
      </c>
      <c r="E22" s="53" t="str">
        <f>IFERROR(INDEX('2.주간상품체크(제작팀공유)'!$K:$K,MATCH(B22,'2.주간상품체크(제작팀공유)'!$C:$C,0)),"")</f>
        <v/>
      </c>
      <c r="F22" s="41"/>
      <c r="G22" s="41"/>
      <c r="H22" s="54"/>
      <c r="I22" s="35"/>
      <c r="J22" s="56" t="str">
        <f t="shared" si="0"/>
        <v/>
      </c>
      <c r="K22" s="35"/>
    </row>
  </sheetData>
  <phoneticPr fontId="37" type="noConversion"/>
  <dataValidations count="1">
    <dataValidation type="list" allowBlank="1" sqref="J2:J22">
      <formula1>"유지,하향,종료"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12" style="10" customWidth="1"/>
    <col min="2" max="2" width="20" style="10" customWidth="1"/>
    <col min="3" max="3" width="26" style="10" customWidth="1"/>
    <col min="4" max="4" width="24" style="10" customWidth="1"/>
    <col min="5" max="5" width="8" style="10" customWidth="1"/>
    <col min="6" max="6" width="16" style="10" customWidth="1"/>
  </cols>
  <sheetData>
    <row r="1" spans="1:6" ht="21" customHeight="1">
      <c r="A1" s="3" t="s">
        <v>81</v>
      </c>
      <c r="B1" s="3"/>
      <c r="C1" s="3"/>
      <c r="D1" s="3"/>
      <c r="E1" s="3"/>
      <c r="F1" s="3"/>
    </row>
    <row r="2" spans="1:6" ht="27.75" customHeight="1">
      <c r="A2" s="2" t="s">
        <v>82</v>
      </c>
      <c r="B2" s="2"/>
      <c r="C2" s="2"/>
      <c r="D2" s="2"/>
      <c r="E2" s="2"/>
      <c r="F2" s="2"/>
    </row>
    <row r="4" spans="1:6" ht="15" customHeight="1">
      <c r="A4" s="57" t="s">
        <v>83</v>
      </c>
    </row>
    <row r="5" spans="1:6" ht="30" customHeight="1">
      <c r="A5" s="30" t="s">
        <v>84</v>
      </c>
      <c r="B5" s="30" t="s">
        <v>85</v>
      </c>
      <c r="C5" s="30" t="s">
        <v>86</v>
      </c>
      <c r="D5" s="30" t="s">
        <v>87</v>
      </c>
      <c r="E5" s="30" t="s">
        <v>88</v>
      </c>
      <c r="F5" s="30" t="s">
        <v>40</v>
      </c>
    </row>
    <row r="6" spans="1:6" ht="15" customHeight="1">
      <c r="A6" s="58" t="s">
        <v>89</v>
      </c>
      <c r="B6" s="33" t="s">
        <v>41</v>
      </c>
      <c r="C6" s="33" t="s">
        <v>90</v>
      </c>
      <c r="D6" s="33" t="s">
        <v>91</v>
      </c>
      <c r="E6" s="33" t="s">
        <v>92</v>
      </c>
      <c r="F6" s="58" t="s">
        <v>48</v>
      </c>
    </row>
    <row r="7" spans="1:6" ht="15" customHeight="1">
      <c r="A7" s="58"/>
      <c r="B7" s="33"/>
      <c r="C7" s="58"/>
      <c r="D7" s="58"/>
      <c r="E7" s="58"/>
      <c r="F7" s="58"/>
    </row>
    <row r="8" spans="1:6" ht="15" customHeight="1">
      <c r="A8" s="58"/>
      <c r="B8" s="33"/>
      <c r="C8" s="58"/>
      <c r="D8" s="58"/>
      <c r="E8" s="58"/>
      <c r="F8" s="58"/>
    </row>
    <row r="9" spans="1:6" ht="15" customHeight="1">
      <c r="A9" s="58"/>
      <c r="B9" s="33"/>
      <c r="C9" s="58"/>
      <c r="D9" s="58"/>
      <c r="E9" s="58"/>
      <c r="F9" s="58"/>
    </row>
    <row r="10" spans="1:6" ht="15" customHeight="1">
      <c r="A10" s="58"/>
      <c r="B10" s="33"/>
      <c r="C10" s="58"/>
      <c r="D10" s="58"/>
      <c r="E10" s="58"/>
      <c r="F10" s="58"/>
    </row>
    <row r="11" spans="1:6" ht="15" customHeight="1">
      <c r="A11" s="58"/>
      <c r="B11" s="33"/>
      <c r="C11" s="58"/>
      <c r="D11" s="58"/>
      <c r="E11" s="58"/>
      <c r="F11" s="58"/>
    </row>
    <row r="12" spans="1:6" ht="15" customHeight="1">
      <c r="A12" s="58"/>
      <c r="B12" s="33"/>
      <c r="C12" s="58"/>
      <c r="D12" s="58"/>
      <c r="E12" s="58"/>
      <c r="F12" s="58"/>
    </row>
    <row r="13" spans="1:6" ht="15" customHeight="1">
      <c r="A13" s="58"/>
      <c r="B13" s="33"/>
      <c r="C13" s="58"/>
      <c r="D13" s="58"/>
      <c r="E13" s="58"/>
      <c r="F13" s="58"/>
    </row>
    <row r="14" spans="1:6" ht="15" customHeight="1">
      <c r="A14" s="58"/>
      <c r="B14" s="33"/>
      <c r="C14" s="58"/>
      <c r="D14" s="58"/>
      <c r="E14" s="58"/>
      <c r="F14" s="58"/>
    </row>
    <row r="17" spans="1:6" ht="15" customHeight="1">
      <c r="A17" s="57" t="s">
        <v>93</v>
      </c>
    </row>
    <row r="18" spans="1:6" ht="30" customHeight="1">
      <c r="A18" s="30" t="s">
        <v>84</v>
      </c>
      <c r="B18" s="30" t="s">
        <v>94</v>
      </c>
      <c r="C18" s="52" t="s">
        <v>95</v>
      </c>
      <c r="D18" s="52" t="s">
        <v>96</v>
      </c>
      <c r="E18" s="52" t="s">
        <v>97</v>
      </c>
      <c r="F18" s="30" t="s">
        <v>98</v>
      </c>
    </row>
    <row r="19" spans="1:6" ht="51.75" customHeight="1">
      <c r="A19" s="58" t="s">
        <v>89</v>
      </c>
      <c r="B19" s="58" t="s">
        <v>99</v>
      </c>
      <c r="C19" s="33" t="s">
        <v>100</v>
      </c>
      <c r="D19" s="33" t="s">
        <v>101</v>
      </c>
      <c r="E19" s="33" t="s">
        <v>102</v>
      </c>
      <c r="F19" s="58" t="s">
        <v>103</v>
      </c>
    </row>
    <row r="20" spans="1:6" ht="15" customHeight="1">
      <c r="A20" s="58"/>
      <c r="B20" s="58"/>
      <c r="C20" s="58"/>
      <c r="D20" s="58"/>
      <c r="E20" s="58"/>
      <c r="F20" s="58"/>
    </row>
    <row r="21" spans="1:6" ht="15" customHeight="1">
      <c r="A21" s="58"/>
      <c r="B21" s="58"/>
      <c r="C21" s="58"/>
      <c r="D21" s="58"/>
      <c r="E21" s="58"/>
      <c r="F21" s="58"/>
    </row>
    <row r="22" spans="1:6" ht="15" customHeight="1">
      <c r="A22" s="58"/>
      <c r="B22" s="58"/>
      <c r="C22" s="58"/>
      <c r="D22" s="58"/>
      <c r="E22" s="58"/>
      <c r="F22" s="58"/>
    </row>
    <row r="23" spans="1:6" ht="15" customHeight="1">
      <c r="A23" s="58"/>
      <c r="B23" s="58"/>
      <c r="C23" s="58"/>
      <c r="D23" s="58"/>
      <c r="E23" s="58"/>
      <c r="F23" s="58"/>
    </row>
    <row r="24" spans="1:6" ht="15" customHeight="1">
      <c r="A24" s="58"/>
      <c r="B24" s="58"/>
      <c r="C24" s="58"/>
      <c r="D24" s="58"/>
      <c r="E24" s="58"/>
      <c r="F24" s="58"/>
    </row>
    <row r="25" spans="1:6" ht="15" customHeight="1">
      <c r="A25" s="58"/>
      <c r="B25" s="58"/>
      <c r="C25" s="58"/>
      <c r="D25" s="58"/>
      <c r="E25" s="58"/>
      <c r="F25" s="58"/>
    </row>
    <row r="26" spans="1:6" ht="15" customHeight="1">
      <c r="A26" s="58"/>
      <c r="B26" s="58"/>
      <c r="C26" s="58"/>
      <c r="D26" s="58"/>
      <c r="E26" s="58"/>
      <c r="F26" s="58"/>
    </row>
    <row r="27" spans="1:6" ht="15" customHeight="1">
      <c r="A27" s="58"/>
      <c r="B27" s="58"/>
      <c r="C27" s="58"/>
      <c r="D27" s="58"/>
      <c r="E27" s="58"/>
      <c r="F27" s="58"/>
    </row>
    <row r="28" spans="1:6" ht="15" customHeight="1">
      <c r="A28" s="58"/>
      <c r="B28" s="58"/>
      <c r="C28" s="58"/>
      <c r="D28" s="58"/>
      <c r="E28" s="58"/>
      <c r="F28" s="58"/>
    </row>
    <row r="30" spans="1:6" ht="15" customHeight="1">
      <c r="A30" s="57" t="s">
        <v>104</v>
      </c>
    </row>
    <row r="31" spans="1:6" ht="18" customHeight="1">
      <c r="A31" s="1" t="s">
        <v>105</v>
      </c>
      <c r="B31" s="1"/>
      <c r="C31" s="1"/>
      <c r="D31" s="1"/>
      <c r="E31" s="1"/>
      <c r="F31" s="1"/>
    </row>
    <row r="32" spans="1:6" ht="18" customHeight="1">
      <c r="A32" s="1" t="s">
        <v>106</v>
      </c>
      <c r="B32" s="1"/>
      <c r="C32" s="1"/>
      <c r="D32" s="1"/>
      <c r="E32" s="1"/>
      <c r="F32" s="1"/>
    </row>
    <row r="33" spans="1:6" ht="18" customHeight="1">
      <c r="A33" s="1" t="s">
        <v>107</v>
      </c>
      <c r="B33" s="1"/>
      <c r="C33" s="1"/>
      <c r="D33" s="1"/>
      <c r="E33" s="1"/>
      <c r="F33" s="1"/>
    </row>
  </sheetData>
  <mergeCells count="5">
    <mergeCell ref="A1:F1"/>
    <mergeCell ref="A2:F2"/>
    <mergeCell ref="A31:F31"/>
    <mergeCell ref="A32:F32"/>
    <mergeCell ref="A33:F33"/>
  </mergeCells>
  <phoneticPr fontId="37" type="noConversion"/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'2.주간상품체크(제작팀공유)'!$B$2:$B$23</xm:f>
          </x14:formula1>
          <x14:formula2>
            <xm:f>0</xm:f>
          </x14:formula2>
          <xm:sqref>B6:B14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2"/>
  <sheetViews>
    <sheetView showGridLines="0" zoomScaleNormal="100" workbookViewId="0"/>
  </sheetViews>
  <sheetFormatPr defaultColWidth="8.7109375" defaultRowHeight="15"/>
  <cols>
    <col min="1" max="1" width="10" style="10" customWidth="1"/>
    <col min="2" max="2" width="16" style="10" customWidth="1"/>
    <col min="3" max="3" width="11" style="10" customWidth="1"/>
    <col min="4" max="7" width="22" style="10" customWidth="1"/>
    <col min="8" max="8" width="14" style="10" customWidth="1"/>
  </cols>
  <sheetData>
    <row r="1" spans="1:8" ht="21" customHeight="1">
      <c r="A1" s="3" t="s">
        <v>108</v>
      </c>
      <c r="B1" s="3"/>
      <c r="C1" s="3"/>
      <c r="D1" s="3"/>
      <c r="E1" s="3"/>
      <c r="F1" s="3"/>
      <c r="G1" s="3"/>
      <c r="H1" s="3"/>
    </row>
    <row r="2" spans="1:8" ht="24" customHeight="1">
      <c r="A2" s="2" t="s">
        <v>109</v>
      </c>
      <c r="B2" s="2"/>
      <c r="C2" s="2"/>
      <c r="D2" s="2"/>
      <c r="E2" s="2"/>
      <c r="F2" s="2"/>
      <c r="G2" s="2"/>
      <c r="H2" s="2"/>
    </row>
    <row r="4" spans="1:8" ht="15" customHeight="1">
      <c r="A4" s="57" t="s">
        <v>110</v>
      </c>
    </row>
    <row r="5" spans="1:8" ht="31.5" customHeight="1">
      <c r="A5" s="30" t="s">
        <v>68</v>
      </c>
      <c r="B5" s="30" t="s">
        <v>111</v>
      </c>
      <c r="C5" s="30" t="s">
        <v>112</v>
      </c>
      <c r="D5" s="30" t="s">
        <v>113</v>
      </c>
      <c r="E5" s="30" t="s">
        <v>114</v>
      </c>
      <c r="F5" s="30" t="s">
        <v>115</v>
      </c>
      <c r="G5" s="30" t="s">
        <v>116</v>
      </c>
      <c r="H5" s="30" t="s">
        <v>40</v>
      </c>
    </row>
    <row r="6" spans="1:8" ht="26.25" customHeight="1">
      <c r="A6" s="59" t="s">
        <v>78</v>
      </c>
      <c r="B6" s="33" t="s">
        <v>117</v>
      </c>
      <c r="C6" s="60" t="s">
        <v>118</v>
      </c>
      <c r="D6" s="33" t="s">
        <v>119</v>
      </c>
      <c r="E6" s="33" t="s">
        <v>120</v>
      </c>
      <c r="F6" s="58" t="s">
        <v>121</v>
      </c>
      <c r="G6" s="58" t="s">
        <v>122</v>
      </c>
      <c r="H6" s="58" t="s">
        <v>48</v>
      </c>
    </row>
    <row r="7" spans="1:8" ht="15" customHeight="1">
      <c r="A7" s="59"/>
      <c r="B7" s="33"/>
      <c r="C7" s="60"/>
      <c r="D7" s="33"/>
      <c r="E7" s="33"/>
      <c r="F7" s="33"/>
      <c r="G7" s="33"/>
      <c r="H7" s="33"/>
    </row>
    <row r="8" spans="1:8" ht="15" customHeight="1">
      <c r="A8" s="59"/>
      <c r="B8" s="33"/>
      <c r="C8" s="60"/>
      <c r="D8" s="33"/>
      <c r="E8" s="33"/>
      <c r="F8" s="33"/>
      <c r="G8" s="33"/>
      <c r="H8" s="33"/>
    </row>
    <row r="9" spans="1:8" ht="15" customHeight="1">
      <c r="A9" s="59"/>
      <c r="B9" s="33"/>
      <c r="C9" s="60"/>
      <c r="D9" s="33"/>
      <c r="E9" s="33"/>
      <c r="F9" s="33"/>
      <c r="G9" s="33"/>
      <c r="H9" s="33"/>
    </row>
    <row r="10" spans="1:8" ht="15" customHeight="1">
      <c r="A10" s="59"/>
      <c r="B10" s="33"/>
      <c r="C10" s="60"/>
      <c r="D10" s="33"/>
      <c r="E10" s="33"/>
      <c r="F10" s="33"/>
      <c r="G10" s="33"/>
      <c r="H10" s="33"/>
    </row>
    <row r="11" spans="1:8" ht="15" customHeight="1">
      <c r="A11" s="59"/>
      <c r="B11" s="33"/>
      <c r="C11" s="60"/>
      <c r="D11" s="33"/>
      <c r="E11" s="33"/>
      <c r="F11" s="33"/>
      <c r="G11" s="33"/>
      <c r="H11" s="33"/>
    </row>
    <row r="12" spans="1:8" ht="15" customHeight="1">
      <c r="A12" s="59"/>
      <c r="B12" s="33"/>
      <c r="C12" s="60"/>
      <c r="D12" s="33"/>
      <c r="E12" s="33"/>
      <c r="F12" s="33"/>
      <c r="G12" s="33"/>
      <c r="H12" s="33"/>
    </row>
    <row r="15" spans="1:8" ht="16.5" customHeight="1">
      <c r="A15" s="57" t="s">
        <v>123</v>
      </c>
    </row>
    <row r="16" spans="1:8" ht="31.5" customHeight="1">
      <c r="A16" s="30" t="s">
        <v>68</v>
      </c>
      <c r="B16" s="30" t="s">
        <v>124</v>
      </c>
      <c r="C16" s="30" t="s">
        <v>125</v>
      </c>
      <c r="D16" s="30" t="s">
        <v>126</v>
      </c>
      <c r="E16" s="30" t="s">
        <v>127</v>
      </c>
      <c r="F16" s="30" t="s">
        <v>128</v>
      </c>
      <c r="G16" s="30" t="s">
        <v>88</v>
      </c>
      <c r="H16" s="30" t="s">
        <v>40</v>
      </c>
    </row>
    <row r="17" spans="1:8" ht="26.25" customHeight="1">
      <c r="A17" s="59" t="s">
        <v>78</v>
      </c>
      <c r="B17" s="33" t="s">
        <v>41</v>
      </c>
      <c r="C17" s="61">
        <v>120</v>
      </c>
      <c r="D17" s="58" t="s">
        <v>129</v>
      </c>
      <c r="E17" s="33" t="s">
        <v>130</v>
      </c>
      <c r="F17" s="33" t="s">
        <v>131</v>
      </c>
      <c r="G17" s="33" t="s">
        <v>92</v>
      </c>
      <c r="H17" s="58" t="s">
        <v>132</v>
      </c>
    </row>
    <row r="18" spans="1:8" ht="15" customHeight="1">
      <c r="A18" s="59"/>
      <c r="B18" s="33"/>
      <c r="C18" s="61"/>
      <c r="D18" s="33"/>
      <c r="E18" s="33"/>
      <c r="F18" s="33"/>
      <c r="G18" s="33"/>
      <c r="H18" s="33"/>
    </row>
    <row r="19" spans="1:8" ht="15" customHeight="1">
      <c r="A19" s="59"/>
      <c r="B19" s="33"/>
      <c r="C19" s="61"/>
      <c r="D19" s="33"/>
      <c r="E19" s="33"/>
      <c r="F19" s="33"/>
      <c r="G19" s="33"/>
      <c r="H19" s="33"/>
    </row>
    <row r="20" spans="1:8" ht="15" customHeight="1">
      <c r="A20" s="59"/>
      <c r="B20" s="33"/>
      <c r="C20" s="61"/>
      <c r="D20" s="33"/>
      <c r="E20" s="33"/>
      <c r="F20" s="33"/>
      <c r="G20" s="33"/>
      <c r="H20" s="33"/>
    </row>
    <row r="21" spans="1:8" ht="15" customHeight="1">
      <c r="A21" s="59"/>
      <c r="B21" s="33"/>
      <c r="C21" s="61"/>
      <c r="D21" s="33"/>
      <c r="E21" s="33"/>
      <c r="F21" s="33"/>
      <c r="G21" s="33"/>
      <c r="H21" s="33"/>
    </row>
    <row r="22" spans="1:8" ht="15" customHeight="1">
      <c r="A22" s="59"/>
      <c r="B22" s="33"/>
      <c r="C22" s="61"/>
      <c r="D22" s="33"/>
      <c r="E22" s="33"/>
      <c r="F22" s="33"/>
      <c r="G22" s="33"/>
      <c r="H22" s="33"/>
    </row>
    <row r="23" spans="1:8" ht="15" customHeight="1">
      <c r="A23" s="59"/>
      <c r="B23" s="33"/>
      <c r="C23" s="61"/>
      <c r="D23" s="33"/>
      <c r="E23" s="33"/>
      <c r="F23" s="33"/>
      <c r="G23" s="33"/>
      <c r="H23" s="33"/>
    </row>
    <row r="24" spans="1:8" ht="15" customHeight="1">
      <c r="A24" s="59"/>
      <c r="B24" s="33"/>
      <c r="C24" s="61"/>
      <c r="D24" s="33"/>
      <c r="E24" s="33"/>
      <c r="F24" s="33"/>
      <c r="G24" s="33"/>
      <c r="H24" s="33"/>
    </row>
    <row r="25" spans="1:8" ht="15" customHeight="1">
      <c r="A25" s="59"/>
      <c r="B25" s="33"/>
      <c r="C25" s="61"/>
      <c r="D25" s="33"/>
      <c r="E25" s="33"/>
      <c r="F25" s="33"/>
      <c r="G25" s="33"/>
      <c r="H25" s="33"/>
    </row>
    <row r="26" spans="1:8" ht="15" customHeight="1">
      <c r="A26" s="59"/>
      <c r="B26" s="33"/>
      <c r="C26" s="61"/>
      <c r="D26" s="33"/>
      <c r="E26" s="33"/>
      <c r="F26" s="33"/>
      <c r="G26" s="33"/>
      <c r="H26" s="33"/>
    </row>
    <row r="27" spans="1:8" ht="15" customHeight="1">
      <c r="A27" s="59"/>
      <c r="B27" s="33"/>
      <c r="C27" s="61"/>
      <c r="D27" s="33"/>
      <c r="E27" s="33"/>
      <c r="F27" s="33"/>
      <c r="G27" s="33"/>
      <c r="H27" s="33"/>
    </row>
    <row r="28" spans="1:8" ht="15" customHeight="1">
      <c r="A28" s="59"/>
      <c r="B28" s="33"/>
      <c r="C28" s="61"/>
      <c r="D28" s="33"/>
      <c r="E28" s="33"/>
      <c r="F28" s="33"/>
      <c r="G28" s="33"/>
      <c r="H28" s="33"/>
    </row>
    <row r="29" spans="1:8" ht="15" customHeight="1">
      <c r="A29" s="59"/>
      <c r="B29" s="33"/>
      <c r="C29" s="61"/>
      <c r="D29" s="33"/>
      <c r="E29" s="33"/>
      <c r="F29" s="33"/>
      <c r="G29" s="33"/>
      <c r="H29" s="33"/>
    </row>
    <row r="30" spans="1:8" ht="15" customHeight="1">
      <c r="A30" s="59"/>
      <c r="B30" s="33"/>
      <c r="C30" s="61"/>
      <c r="D30" s="33"/>
      <c r="E30" s="33"/>
      <c r="F30" s="33"/>
      <c r="G30" s="33"/>
      <c r="H30" s="33"/>
    </row>
    <row r="31" spans="1:8" ht="15" customHeight="1">
      <c r="A31" s="59"/>
      <c r="B31" s="33"/>
      <c r="C31" s="61"/>
      <c r="D31" s="33"/>
      <c r="E31" s="33"/>
      <c r="F31" s="33"/>
      <c r="G31" s="33"/>
      <c r="H31" s="33"/>
    </row>
    <row r="32" spans="1:8" ht="15" customHeight="1">
      <c r="A32" s="59"/>
      <c r="B32" s="33"/>
      <c r="C32" s="61"/>
      <c r="D32" s="33"/>
      <c r="E32" s="33"/>
      <c r="F32" s="33"/>
      <c r="G32" s="33"/>
      <c r="H32" s="33"/>
    </row>
  </sheetData>
  <mergeCells count="2">
    <mergeCell ref="A1:H1"/>
    <mergeCell ref="A2:H2"/>
  </mergeCells>
  <phoneticPr fontId="37" type="noConversion"/>
  <pageMargins left="0.75" right="0.75" top="1" bottom="1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'1.상품스케줄표'!$B$3:$B$23</xm:f>
          </x14:formula1>
          <x14:formula2>
            <xm:f>0</xm:f>
          </x14:formula2>
          <xm:sqref>B17:B32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사용안내</vt:lpstr>
      <vt:lpstr>1.상품스케줄표</vt:lpstr>
      <vt:lpstr>2.주간상품체크(제작팀공유)</vt:lpstr>
      <vt:lpstr>3.월별HERO LIST</vt:lpstr>
      <vt:lpstr>4.MD주간회의록</vt:lpstr>
      <vt:lpstr>5.MD월간회의록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MY</cp:lastModifiedBy>
  <cp:revision>0</cp:revision>
  <dcterms:created xsi:type="dcterms:W3CDTF">2026-08-13T08:53:33Z</dcterms:created>
  <dcterms:modified xsi:type="dcterms:W3CDTF">2026-08-19T11:43:18Z</dcterms:modified>
  <dc:language>en-US</dc:language>
</cp:coreProperties>
</file>